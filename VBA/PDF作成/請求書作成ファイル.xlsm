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Owner\Desktop\請求書\"/>
    </mc:Choice>
  </mc:AlternateContent>
  <xr:revisionPtr revIDLastSave="0" documentId="13_ncr:1_{5219F641-DD5C-4363-A37E-D4A9EA0DD5B8}" xr6:coauthVersionLast="47" xr6:coauthVersionMax="47" xr10:uidLastSave="{00000000-0000-0000-0000-000000000000}"/>
  <bookViews>
    <workbookView xWindow="-120" yWindow="-120" windowWidth="29040" windowHeight="15990" tabRatio="862" activeTab="2" xr2:uid="{00000000-000D-0000-FFFF-FFFF00000000}"/>
  </bookViews>
  <sheets>
    <sheet name="●Book役割" sheetId="51" r:id="rId1"/>
    <sheet name="●請求台帳" sheetId="3" r:id="rId2"/>
    <sheet name="●請求書" sheetId="4" r:id="rId3"/>
  </sheets>
  <definedNames>
    <definedName name="No">OFFSET(●請求台帳!$A$2,1,0,COUNTA(●請求台帳!$A:$A)-1,1)</definedName>
    <definedName name="_xlnm.Print_Area" localSheetId="2">●請求書!$A$1:$I$39</definedName>
    <definedName name="_xlnm.Print_Area" localSheetId="1">●請求台帳!$A$1:$V$25</definedName>
    <definedName name="近畿圏営業部">#REF!</definedName>
    <definedName name="首都圏営業部">#REF!</definedName>
    <definedName name="北日本営業部">#REF!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7" i="3" l="1"/>
  <c r="N17" i="3"/>
  <c r="J17" i="3"/>
  <c r="F17" i="3"/>
  <c r="R16" i="3"/>
  <c r="N16" i="3"/>
  <c r="J16" i="3"/>
  <c r="F16" i="3"/>
  <c r="R15" i="3"/>
  <c r="N15" i="3"/>
  <c r="J15" i="3"/>
  <c r="F15" i="3"/>
  <c r="R14" i="3"/>
  <c r="N14" i="3"/>
  <c r="J14" i="3"/>
  <c r="F14" i="3"/>
  <c r="R13" i="3"/>
  <c r="N13" i="3"/>
  <c r="J13" i="3"/>
  <c r="F13" i="3"/>
  <c r="R12" i="3"/>
  <c r="N12" i="3"/>
  <c r="J12" i="3"/>
  <c r="F12" i="3"/>
  <c r="R11" i="3"/>
  <c r="N11" i="3"/>
  <c r="J11" i="3"/>
  <c r="F11" i="3"/>
  <c r="R10" i="3"/>
  <c r="N10" i="3"/>
  <c r="J10" i="3"/>
  <c r="F10" i="3"/>
  <c r="R9" i="3"/>
  <c r="N9" i="3"/>
  <c r="J9" i="3"/>
  <c r="F9" i="3"/>
  <c r="R8" i="3"/>
  <c r="N8" i="3"/>
  <c r="J8" i="3"/>
  <c r="F8" i="3"/>
  <c r="R7" i="3"/>
  <c r="N7" i="3"/>
  <c r="J7" i="3"/>
  <c r="F7" i="3"/>
  <c r="R6" i="3"/>
  <c r="N6" i="3"/>
  <c r="J6" i="3"/>
  <c r="F6" i="3"/>
  <c r="R5" i="3"/>
  <c r="N5" i="3"/>
  <c r="J5" i="3"/>
  <c r="F5" i="3"/>
  <c r="R4" i="3"/>
  <c r="N4" i="3"/>
  <c r="J4" i="3"/>
  <c r="F4" i="3"/>
  <c r="R3" i="3"/>
  <c r="N3" i="3"/>
  <c r="J3" i="3"/>
  <c r="F3" i="3"/>
  <c r="U15" i="3"/>
  <c r="U14" i="3"/>
  <c r="U11" i="3"/>
  <c r="U10" i="3"/>
  <c r="U7" i="3"/>
  <c r="U6" i="3"/>
  <c r="E4" i="3"/>
  <c r="E5" i="3"/>
  <c r="E6" i="3"/>
  <c r="E7" i="3"/>
  <c r="E8" i="3"/>
  <c r="E9" i="3"/>
  <c r="E10" i="3"/>
  <c r="E11" i="3"/>
  <c r="E12" i="3"/>
  <c r="E13" i="3"/>
  <c r="E14" i="3"/>
  <c r="E15" i="3"/>
  <c r="E16" i="3"/>
  <c r="E17" i="3"/>
  <c r="E3" i="3"/>
  <c r="U17" i="3"/>
  <c r="U16" i="3"/>
  <c r="U13" i="3"/>
  <c r="U12" i="3"/>
  <c r="U9" i="3"/>
  <c r="U8" i="3"/>
  <c r="U5" i="3"/>
  <c r="U4" i="3"/>
  <c r="Q17" i="3"/>
  <c r="Q16" i="3"/>
  <c r="Q15" i="3"/>
  <c r="Q14" i="3"/>
  <c r="Q13" i="3"/>
  <c r="Q12" i="3"/>
  <c r="Q11" i="3"/>
  <c r="Q10" i="3"/>
  <c r="Q9" i="3"/>
  <c r="Q8" i="3"/>
  <c r="Q7" i="3"/>
  <c r="Q6" i="3"/>
  <c r="Q5" i="3"/>
  <c r="Q4" i="3"/>
  <c r="G9" i="4"/>
  <c r="A3" i="4"/>
  <c r="M17" i="3" l="1"/>
  <c r="I17" i="3"/>
  <c r="M16" i="3"/>
  <c r="I16" i="3"/>
  <c r="M15" i="3"/>
  <c r="I15" i="3"/>
  <c r="M14" i="3"/>
  <c r="I14" i="3"/>
  <c r="M13" i="3"/>
  <c r="I13" i="3"/>
  <c r="M12" i="3"/>
  <c r="I12" i="3"/>
  <c r="M11" i="3"/>
  <c r="I11" i="3"/>
  <c r="M10" i="3"/>
  <c r="I10" i="3"/>
  <c r="M9" i="3"/>
  <c r="I9" i="3"/>
  <c r="M8" i="3"/>
  <c r="I8" i="3"/>
  <c r="H24" i="4"/>
  <c r="H23" i="4"/>
  <c r="H22" i="4"/>
  <c r="G24" i="4"/>
  <c r="G23" i="4"/>
  <c r="G22" i="4"/>
  <c r="A24" i="4"/>
  <c r="A23" i="4"/>
  <c r="A22" i="4"/>
  <c r="H21" i="4"/>
  <c r="G21" i="4"/>
  <c r="A21" i="4"/>
  <c r="A37" i="4"/>
  <c r="H2" i="4"/>
  <c r="M6" i="3"/>
  <c r="I6" i="3"/>
  <c r="I18" i="3"/>
  <c r="M18" i="3"/>
  <c r="Q18" i="3"/>
  <c r="U18" i="3"/>
  <c r="I19" i="3"/>
  <c r="M19" i="3"/>
  <c r="Q19" i="3"/>
  <c r="U19" i="3"/>
  <c r="I20" i="3"/>
  <c r="M20" i="3"/>
  <c r="Q20" i="3"/>
  <c r="U20" i="3"/>
  <c r="I21" i="3"/>
  <c r="M21" i="3"/>
  <c r="Q21" i="3"/>
  <c r="U21" i="3"/>
  <c r="I22" i="3"/>
  <c r="M22" i="3"/>
  <c r="Q22" i="3"/>
  <c r="U22" i="3"/>
  <c r="I23" i="3"/>
  <c r="M23" i="3"/>
  <c r="Q23" i="3"/>
  <c r="U23" i="3"/>
  <c r="I24" i="3"/>
  <c r="M24" i="3"/>
  <c r="Q24" i="3"/>
  <c r="U24" i="3"/>
  <c r="I25" i="3"/>
  <c r="M25" i="3"/>
  <c r="Q25" i="3"/>
  <c r="U25" i="3"/>
  <c r="I26" i="3"/>
  <c r="M26" i="3"/>
  <c r="Q26" i="3"/>
  <c r="U26" i="3"/>
  <c r="I27" i="3"/>
  <c r="M27" i="3"/>
  <c r="Q27" i="3"/>
  <c r="U27" i="3"/>
  <c r="I28" i="3"/>
  <c r="M28" i="3"/>
  <c r="Q28" i="3"/>
  <c r="U28" i="3"/>
  <c r="I29" i="3"/>
  <c r="M29" i="3"/>
  <c r="Q29" i="3"/>
  <c r="U29" i="3"/>
  <c r="I30" i="3"/>
  <c r="M30" i="3"/>
  <c r="Q30" i="3"/>
  <c r="U30" i="3"/>
  <c r="I31" i="3"/>
  <c r="M31" i="3"/>
  <c r="Q31" i="3"/>
  <c r="U31" i="3"/>
  <c r="I32" i="3"/>
  <c r="M32" i="3"/>
  <c r="Q32" i="3"/>
  <c r="U32" i="3"/>
  <c r="I33" i="3"/>
  <c r="M33" i="3"/>
  <c r="Q33" i="3"/>
  <c r="U33" i="3"/>
  <c r="I34" i="3"/>
  <c r="M34" i="3"/>
  <c r="Q34" i="3"/>
  <c r="U34" i="3"/>
  <c r="I35" i="3"/>
  <c r="M35" i="3"/>
  <c r="Q35" i="3"/>
  <c r="U35" i="3"/>
  <c r="I36" i="3"/>
  <c r="M36" i="3"/>
  <c r="Q36" i="3"/>
  <c r="U36" i="3"/>
  <c r="I37" i="3"/>
  <c r="M37" i="3"/>
  <c r="Q37" i="3"/>
  <c r="U37" i="3"/>
  <c r="I38" i="3"/>
  <c r="M38" i="3"/>
  <c r="Q38" i="3"/>
  <c r="U38" i="3"/>
  <c r="I39" i="3"/>
  <c r="M39" i="3"/>
  <c r="Q39" i="3"/>
  <c r="U39" i="3"/>
  <c r="I40" i="3"/>
  <c r="M40" i="3"/>
  <c r="Q40" i="3"/>
  <c r="U40" i="3"/>
  <c r="I41" i="3"/>
  <c r="M41" i="3"/>
  <c r="Q41" i="3"/>
  <c r="U41" i="3"/>
  <c r="I42" i="3"/>
  <c r="M42" i="3"/>
  <c r="Q42" i="3"/>
  <c r="U42" i="3"/>
  <c r="I43" i="3"/>
  <c r="M43" i="3"/>
  <c r="Q43" i="3"/>
  <c r="U43" i="3"/>
  <c r="I44" i="3"/>
  <c r="M44" i="3"/>
  <c r="Q44" i="3"/>
  <c r="U44" i="3"/>
  <c r="I45" i="3"/>
  <c r="M45" i="3"/>
  <c r="Q45" i="3"/>
  <c r="U45" i="3"/>
  <c r="I46" i="3"/>
  <c r="M46" i="3"/>
  <c r="Q46" i="3"/>
  <c r="U46" i="3"/>
  <c r="I47" i="3"/>
  <c r="M47" i="3"/>
  <c r="Q47" i="3"/>
  <c r="U47" i="3"/>
  <c r="I48" i="3"/>
  <c r="M48" i="3"/>
  <c r="Q48" i="3"/>
  <c r="U48" i="3"/>
  <c r="I49" i="3"/>
  <c r="M49" i="3"/>
  <c r="Q49" i="3"/>
  <c r="U49" i="3"/>
  <c r="I50" i="3"/>
  <c r="M50" i="3"/>
  <c r="Q50" i="3"/>
  <c r="U50" i="3"/>
  <c r="I51" i="3"/>
  <c r="M51" i="3"/>
  <c r="Q51" i="3"/>
  <c r="U51" i="3"/>
  <c r="I52" i="3"/>
  <c r="M52" i="3"/>
  <c r="Q52" i="3"/>
  <c r="U52" i="3"/>
  <c r="I53" i="3"/>
  <c r="M53" i="3"/>
  <c r="Q53" i="3"/>
  <c r="U53" i="3"/>
  <c r="I54" i="3"/>
  <c r="M54" i="3"/>
  <c r="Q54" i="3"/>
  <c r="U54" i="3"/>
  <c r="I55" i="3"/>
  <c r="M55" i="3"/>
  <c r="Q55" i="3"/>
  <c r="U55" i="3"/>
  <c r="I56" i="3"/>
  <c r="M56" i="3"/>
  <c r="Q56" i="3"/>
  <c r="U56" i="3"/>
  <c r="I57" i="3"/>
  <c r="M57" i="3"/>
  <c r="Q57" i="3"/>
  <c r="U57" i="3"/>
  <c r="I58" i="3"/>
  <c r="M58" i="3"/>
  <c r="Q58" i="3"/>
  <c r="U58" i="3"/>
  <c r="I59" i="3"/>
  <c r="M59" i="3"/>
  <c r="Q59" i="3"/>
  <c r="U59" i="3"/>
  <c r="I60" i="3"/>
  <c r="M60" i="3"/>
  <c r="Q60" i="3"/>
  <c r="U60" i="3"/>
  <c r="I61" i="3"/>
  <c r="M61" i="3"/>
  <c r="Q61" i="3"/>
  <c r="U61" i="3"/>
  <c r="I62" i="3"/>
  <c r="M62" i="3"/>
  <c r="Q62" i="3"/>
  <c r="U62" i="3"/>
  <c r="I63" i="3"/>
  <c r="M63" i="3"/>
  <c r="Q63" i="3"/>
  <c r="U63" i="3"/>
  <c r="I64" i="3"/>
  <c r="M64" i="3"/>
  <c r="Q64" i="3"/>
  <c r="U64" i="3"/>
  <c r="I65" i="3"/>
  <c r="M65" i="3"/>
  <c r="Q65" i="3"/>
  <c r="U65" i="3"/>
  <c r="I66" i="3"/>
  <c r="M66" i="3"/>
  <c r="Q66" i="3"/>
  <c r="U66" i="3"/>
  <c r="I67" i="3"/>
  <c r="M67" i="3"/>
  <c r="Q67" i="3"/>
  <c r="U67" i="3"/>
  <c r="I68" i="3"/>
  <c r="M68" i="3"/>
  <c r="Q68" i="3"/>
  <c r="U68" i="3"/>
  <c r="I69" i="3"/>
  <c r="M69" i="3"/>
  <c r="Q69" i="3"/>
  <c r="U69" i="3"/>
  <c r="I70" i="3"/>
  <c r="M70" i="3"/>
  <c r="Q70" i="3"/>
  <c r="U70" i="3"/>
  <c r="I71" i="3"/>
  <c r="M71" i="3"/>
  <c r="Q71" i="3"/>
  <c r="U71" i="3"/>
  <c r="I72" i="3"/>
  <c r="M72" i="3"/>
  <c r="Q72" i="3"/>
  <c r="U72" i="3"/>
  <c r="I73" i="3"/>
  <c r="M73" i="3"/>
  <c r="Q73" i="3"/>
  <c r="U73" i="3"/>
  <c r="I74" i="3"/>
  <c r="M74" i="3"/>
  <c r="Q74" i="3"/>
  <c r="U74" i="3"/>
  <c r="I75" i="3"/>
  <c r="M75" i="3"/>
  <c r="Q75" i="3"/>
  <c r="U75" i="3"/>
  <c r="I76" i="3"/>
  <c r="M76" i="3"/>
  <c r="Q76" i="3"/>
  <c r="U76" i="3"/>
  <c r="I77" i="3"/>
  <c r="M77" i="3"/>
  <c r="Q77" i="3"/>
  <c r="U77" i="3"/>
  <c r="I78" i="3"/>
  <c r="M78" i="3"/>
  <c r="Q78" i="3"/>
  <c r="U78" i="3"/>
  <c r="I79" i="3"/>
  <c r="M79" i="3"/>
  <c r="Q79" i="3"/>
  <c r="U79" i="3"/>
  <c r="I80" i="3"/>
  <c r="M80" i="3"/>
  <c r="Q80" i="3"/>
  <c r="U80" i="3"/>
  <c r="I81" i="3"/>
  <c r="M81" i="3"/>
  <c r="Q81" i="3"/>
  <c r="U81" i="3"/>
  <c r="I82" i="3"/>
  <c r="M82" i="3"/>
  <c r="Q82" i="3"/>
  <c r="U82" i="3"/>
  <c r="I83" i="3"/>
  <c r="M83" i="3"/>
  <c r="Q83" i="3"/>
  <c r="U83" i="3"/>
  <c r="I84" i="3"/>
  <c r="M84" i="3"/>
  <c r="Q84" i="3"/>
  <c r="U84" i="3"/>
  <c r="I85" i="3"/>
  <c r="M85" i="3"/>
  <c r="Q85" i="3"/>
  <c r="U85" i="3"/>
  <c r="I86" i="3"/>
  <c r="M86" i="3"/>
  <c r="Q86" i="3"/>
  <c r="U86" i="3"/>
  <c r="I87" i="3"/>
  <c r="M87" i="3"/>
  <c r="Q87" i="3"/>
  <c r="U87" i="3"/>
  <c r="I88" i="3"/>
  <c r="M88" i="3"/>
  <c r="Q88" i="3"/>
  <c r="U88" i="3"/>
  <c r="I89" i="3"/>
  <c r="M89" i="3"/>
  <c r="Q89" i="3"/>
  <c r="U89" i="3"/>
  <c r="I90" i="3"/>
  <c r="M90" i="3"/>
  <c r="Q90" i="3"/>
  <c r="U90" i="3"/>
  <c r="I91" i="3"/>
  <c r="M91" i="3"/>
  <c r="Q91" i="3"/>
  <c r="U91" i="3"/>
  <c r="I92" i="3"/>
  <c r="M92" i="3"/>
  <c r="Q92" i="3"/>
  <c r="U92" i="3"/>
  <c r="I93" i="3"/>
  <c r="M93" i="3"/>
  <c r="Q93" i="3"/>
  <c r="U93" i="3"/>
  <c r="I94" i="3"/>
  <c r="M94" i="3"/>
  <c r="Q94" i="3"/>
  <c r="U94" i="3"/>
  <c r="I95" i="3"/>
  <c r="M95" i="3"/>
  <c r="Q95" i="3"/>
  <c r="U95" i="3"/>
  <c r="I96" i="3"/>
  <c r="M96" i="3"/>
  <c r="Q96" i="3"/>
  <c r="U96" i="3"/>
  <c r="I97" i="3"/>
  <c r="M97" i="3"/>
  <c r="Q97" i="3"/>
  <c r="U97" i="3"/>
  <c r="U3" i="3"/>
  <c r="Q3" i="3"/>
  <c r="M7" i="3"/>
  <c r="M5" i="3"/>
  <c r="M4" i="3"/>
  <c r="M3" i="3"/>
  <c r="I7" i="3"/>
  <c r="I5" i="3"/>
  <c r="I4" i="3"/>
  <c r="I3" i="3"/>
  <c r="I21" i="4" l="1"/>
  <c r="I23" i="4"/>
  <c r="I22" i="4"/>
  <c r="I24" i="4"/>
  <c r="I25" i="4" l="1"/>
  <c r="I26" i="4" s="1"/>
  <c r="I27" i="4" s="1"/>
  <c r="C17" i="4" s="1"/>
</calcChain>
</file>

<file path=xl/sharedStrings.xml><?xml version="1.0" encoding="utf-8"?>
<sst xmlns="http://schemas.openxmlformats.org/spreadsheetml/2006/main" count="82" uniqueCount="62">
  <si>
    <t>御　　　請　　　求　　　書</t>
    <rPh sb="0" eb="1">
      <t>ゴ</t>
    </rPh>
    <rPh sb="4" eb="5">
      <t>ショウ</t>
    </rPh>
    <rPh sb="8" eb="9">
      <t>キュウ</t>
    </rPh>
    <rPh sb="12" eb="13">
      <t>ショ</t>
    </rPh>
    <phoneticPr fontId="1"/>
  </si>
  <si>
    <t>平素は格別のご高配を賜り厚く御礼申し上げます。</t>
    <rPh sb="0" eb="2">
      <t>ヘイソ</t>
    </rPh>
    <rPh sb="3" eb="5">
      <t>カクベツ</t>
    </rPh>
    <rPh sb="7" eb="9">
      <t>コウハイ</t>
    </rPh>
    <rPh sb="10" eb="11">
      <t>タマワ</t>
    </rPh>
    <rPh sb="12" eb="13">
      <t>アツ</t>
    </rPh>
    <rPh sb="14" eb="16">
      <t>オンレイ</t>
    </rPh>
    <rPh sb="16" eb="17">
      <t>モウ</t>
    </rPh>
    <rPh sb="18" eb="19">
      <t>ア</t>
    </rPh>
    <phoneticPr fontId="1"/>
  </si>
  <si>
    <t>今回ご依頼頂きました案件につきまして下記の通りご請求申し上げます。</t>
    <rPh sb="0" eb="2">
      <t>コンカイ</t>
    </rPh>
    <rPh sb="3" eb="5">
      <t>イライ</t>
    </rPh>
    <rPh sb="5" eb="6">
      <t>イタダ</t>
    </rPh>
    <rPh sb="10" eb="12">
      <t>アンケン</t>
    </rPh>
    <rPh sb="18" eb="20">
      <t>カキ</t>
    </rPh>
    <rPh sb="21" eb="22">
      <t>トオ</t>
    </rPh>
    <rPh sb="24" eb="26">
      <t>セイキュウ</t>
    </rPh>
    <rPh sb="26" eb="27">
      <t>モウ</t>
    </rPh>
    <rPh sb="28" eb="29">
      <t>ア</t>
    </rPh>
    <phoneticPr fontId="1"/>
  </si>
  <si>
    <t>御取り計らいのほど何卒よろしくお願い申し上げます。</t>
    <rPh sb="0" eb="2">
      <t>オト</t>
    </rPh>
    <rPh sb="3" eb="4">
      <t>ハカ</t>
    </rPh>
    <rPh sb="9" eb="11">
      <t>ナニトゾ</t>
    </rPh>
    <rPh sb="16" eb="17">
      <t>ネガ</t>
    </rPh>
    <rPh sb="18" eb="19">
      <t>モウ</t>
    </rPh>
    <rPh sb="20" eb="21">
      <t>ア</t>
    </rPh>
    <phoneticPr fontId="1"/>
  </si>
  <si>
    <t>■今回ご請求額</t>
    <rPh sb="1" eb="3">
      <t>コンカイ</t>
    </rPh>
    <rPh sb="4" eb="6">
      <t>セイキュウ</t>
    </rPh>
    <rPh sb="6" eb="7">
      <t>ガク</t>
    </rPh>
    <phoneticPr fontId="1"/>
  </si>
  <si>
    <t>数量</t>
    <rPh sb="0" eb="2">
      <t>スウリョウ</t>
    </rPh>
    <phoneticPr fontId="1"/>
  </si>
  <si>
    <t>単価</t>
    <rPh sb="0" eb="2">
      <t>タンカ</t>
    </rPh>
    <phoneticPr fontId="1"/>
  </si>
  <si>
    <t>小計</t>
    <rPh sb="0" eb="2">
      <t>ショウケイ</t>
    </rPh>
    <phoneticPr fontId="1"/>
  </si>
  <si>
    <t>消費税</t>
    <rPh sb="0" eb="3">
      <t>ショウヒゼイ</t>
    </rPh>
    <phoneticPr fontId="1"/>
  </si>
  <si>
    <t>合計</t>
    <rPh sb="0" eb="2">
      <t>ゴウケイ</t>
    </rPh>
    <phoneticPr fontId="1"/>
  </si>
  <si>
    <t>【お振り込み期限】</t>
    <rPh sb="2" eb="3">
      <t>フ</t>
    </rPh>
    <rPh sb="4" eb="5">
      <t>コ</t>
    </rPh>
    <rPh sb="6" eb="8">
      <t>キゲン</t>
    </rPh>
    <phoneticPr fontId="1"/>
  </si>
  <si>
    <t>大変恐れ入りますが、振込手数料は貴社にてご負担お願い申し上げます。</t>
    <rPh sb="0" eb="2">
      <t>タイヘン</t>
    </rPh>
    <rPh sb="2" eb="3">
      <t>オソ</t>
    </rPh>
    <rPh sb="4" eb="5">
      <t>イ</t>
    </rPh>
    <rPh sb="10" eb="11">
      <t>フ</t>
    </rPh>
    <rPh sb="11" eb="12">
      <t>コ</t>
    </rPh>
    <rPh sb="12" eb="15">
      <t>テスウリョウ</t>
    </rPh>
    <rPh sb="16" eb="18">
      <t>キシャ</t>
    </rPh>
    <rPh sb="21" eb="23">
      <t>フタン</t>
    </rPh>
    <rPh sb="24" eb="25">
      <t>ネガ</t>
    </rPh>
    <rPh sb="26" eb="27">
      <t>モウ</t>
    </rPh>
    <rPh sb="28" eb="29">
      <t>ア</t>
    </rPh>
    <phoneticPr fontId="1"/>
  </si>
  <si>
    <t>【お振込先】</t>
    <phoneticPr fontId="1"/>
  </si>
  <si>
    <t>No</t>
    <phoneticPr fontId="1"/>
  </si>
  <si>
    <t>クライアント名</t>
    <rPh sb="6" eb="7">
      <t>メイ</t>
    </rPh>
    <phoneticPr fontId="1"/>
  </si>
  <si>
    <t>請求
発行日付</t>
    <rPh sb="0" eb="2">
      <t>セイキュウ</t>
    </rPh>
    <rPh sb="3" eb="5">
      <t>ハッコウ</t>
    </rPh>
    <rPh sb="5" eb="7">
      <t>ヒヅケ</t>
    </rPh>
    <phoneticPr fontId="1"/>
  </si>
  <si>
    <t>振込期限</t>
    <rPh sb="0" eb="2">
      <t>フリコミ</t>
    </rPh>
    <rPh sb="2" eb="4">
      <t>キゲン</t>
    </rPh>
    <phoneticPr fontId="1"/>
  </si>
  <si>
    <t>摘要1</t>
    <rPh sb="0" eb="2">
      <t>テキヨウ</t>
    </rPh>
    <phoneticPr fontId="1"/>
  </si>
  <si>
    <t>数量1</t>
    <rPh sb="0" eb="2">
      <t>スウリョウ</t>
    </rPh>
    <phoneticPr fontId="1"/>
  </si>
  <si>
    <t>単価1（税抜）</t>
    <rPh sb="0" eb="2">
      <t>タンカ</t>
    </rPh>
    <rPh sb="4" eb="5">
      <t>ゼイ</t>
    </rPh>
    <rPh sb="5" eb="6">
      <t>ヌ</t>
    </rPh>
    <phoneticPr fontId="1"/>
  </si>
  <si>
    <t>請求小計
（税込）</t>
    <rPh sb="0" eb="2">
      <t>セイキュウ</t>
    </rPh>
    <rPh sb="2" eb="4">
      <t>ショウケイ</t>
    </rPh>
    <rPh sb="6" eb="8">
      <t>ゼイコミ</t>
    </rPh>
    <phoneticPr fontId="1"/>
  </si>
  <si>
    <t>摘要2</t>
    <rPh sb="0" eb="2">
      <t>テキヨウ</t>
    </rPh>
    <phoneticPr fontId="1"/>
  </si>
  <si>
    <t>数量2</t>
    <rPh sb="0" eb="2">
      <t>スウリョウ</t>
    </rPh>
    <phoneticPr fontId="1"/>
  </si>
  <si>
    <t>単価2（税抜）</t>
    <rPh sb="0" eb="2">
      <t>タンカ</t>
    </rPh>
    <rPh sb="4" eb="5">
      <t>ゼイ</t>
    </rPh>
    <rPh sb="5" eb="6">
      <t>ヌ</t>
    </rPh>
    <phoneticPr fontId="1"/>
  </si>
  <si>
    <t>商品名</t>
    <rPh sb="0" eb="2">
      <t>ショウヒン</t>
    </rPh>
    <rPh sb="2" eb="3">
      <t>メイ</t>
    </rPh>
    <phoneticPr fontId="1"/>
  </si>
  <si>
    <t>摘要3</t>
    <rPh sb="0" eb="2">
      <t>テキヨウ</t>
    </rPh>
    <phoneticPr fontId="1"/>
  </si>
  <si>
    <t>摘要4</t>
    <rPh sb="0" eb="2">
      <t>テキヨウ</t>
    </rPh>
    <phoneticPr fontId="1"/>
  </si>
  <si>
    <t>※銀行コード：XXXX/支店コード：XXX</t>
    <rPh sb="1" eb="3">
      <t>ギンコウ</t>
    </rPh>
    <rPh sb="12" eb="14">
      <t>シテン</t>
    </rPh>
    <phoneticPr fontId="1"/>
  </si>
  <si>
    <t>発行</t>
    <rPh sb="0" eb="2">
      <t>ハッコウ</t>
    </rPh>
    <phoneticPr fontId="2"/>
  </si>
  <si>
    <t>担当</t>
    <rPh sb="0" eb="2">
      <t>タントウ</t>
    </rPh>
    <phoneticPr fontId="2"/>
  </si>
  <si>
    <t>a</t>
    <phoneticPr fontId="2"/>
  </si>
  <si>
    <t>b</t>
    <phoneticPr fontId="2"/>
  </si>
  <si>
    <t>c</t>
    <phoneticPr fontId="2"/>
  </si>
  <si>
    <t>担当者</t>
    <rPh sb="0" eb="2">
      <t>タントウ</t>
    </rPh>
    <rPh sb="2" eb="3">
      <t>シャ</t>
    </rPh>
    <phoneticPr fontId="3"/>
  </si>
  <si>
    <t>XX銀行  XX支店  普通  XXXXXXX ○○○○株式会社</t>
    <rPh sb="2" eb="4">
      <t>ギンコウ</t>
    </rPh>
    <rPh sb="28" eb="30">
      <t>カブシキ</t>
    </rPh>
    <rPh sb="30" eb="32">
      <t>カイシャ</t>
    </rPh>
    <phoneticPr fontId="1"/>
  </si>
  <si>
    <t>Client1</t>
    <phoneticPr fontId="1"/>
  </si>
  <si>
    <t>Client2</t>
  </si>
  <si>
    <t>Client3</t>
  </si>
  <si>
    <t>Client4</t>
  </si>
  <si>
    <t>Client5</t>
  </si>
  <si>
    <t>Client6</t>
  </si>
  <si>
    <t>Client7</t>
  </si>
  <si>
    <t>Client8</t>
  </si>
  <si>
    <t>Client9</t>
  </si>
  <si>
    <t>Client10</t>
  </si>
  <si>
    <t>Client11</t>
  </si>
  <si>
    <t>Client12</t>
  </si>
  <si>
    <t>Client13</t>
  </si>
  <si>
    <t>Client14</t>
  </si>
  <si>
    <t>Client15</t>
  </si>
  <si>
    <t>各シート役割</t>
    <rPh sb="0" eb="1">
      <t>カク</t>
    </rPh>
    <rPh sb="4" eb="6">
      <t>ヤクワリ</t>
    </rPh>
    <phoneticPr fontId="15"/>
  </si>
  <si>
    <t>●請求台帳</t>
  </si>
  <si>
    <t>●請求書</t>
  </si>
  <si>
    <t>大量の請求書を一括して処理するマクロを作成致しました。</t>
    <rPh sb="0" eb="2">
      <t>タイリョウ</t>
    </rPh>
    <rPh sb="3" eb="6">
      <t>セイキュウショ</t>
    </rPh>
    <rPh sb="7" eb="9">
      <t>イッカツ</t>
    </rPh>
    <rPh sb="11" eb="13">
      <t>ショリ</t>
    </rPh>
    <rPh sb="19" eb="22">
      <t>サクセイイタ</t>
    </rPh>
    <phoneticPr fontId="15"/>
  </si>
  <si>
    <t>直接業務では使用しておりませんが、持っているスキルの一つとして添付させて頂きます。</t>
    <rPh sb="0" eb="2">
      <t>チョクセツ</t>
    </rPh>
    <rPh sb="2" eb="4">
      <t>ギョウム</t>
    </rPh>
    <rPh sb="6" eb="8">
      <t>シヨウ</t>
    </rPh>
    <rPh sb="17" eb="18">
      <t>モ</t>
    </rPh>
    <rPh sb="26" eb="27">
      <t>ヒト</t>
    </rPh>
    <rPh sb="31" eb="33">
      <t>テンプ</t>
    </rPh>
    <rPh sb="36" eb="37">
      <t>イタダ</t>
    </rPh>
    <phoneticPr fontId="15"/>
  </si>
  <si>
    <t>作成した請求書は別フォルダ"請求書"にPDFとして格納されます。他にも連続して印刷することも可能です。</t>
    <rPh sb="0" eb="2">
      <t>サクセイ</t>
    </rPh>
    <rPh sb="4" eb="7">
      <t>セイキュウショ</t>
    </rPh>
    <rPh sb="8" eb="9">
      <t>ベツ</t>
    </rPh>
    <rPh sb="14" eb="17">
      <t>セイキュウショ</t>
    </rPh>
    <rPh sb="25" eb="27">
      <t>カクノウ</t>
    </rPh>
    <rPh sb="32" eb="33">
      <t>ホカ</t>
    </rPh>
    <rPh sb="35" eb="37">
      <t>レンゾク</t>
    </rPh>
    <rPh sb="39" eb="41">
      <t>インサツ</t>
    </rPh>
    <rPh sb="46" eb="48">
      <t>カノウ</t>
    </rPh>
    <phoneticPr fontId="15"/>
  </si>
  <si>
    <t>発行したい請求書の詳細をテーブルにまとめてあります。これらの情報はマクロが使用します。</t>
    <rPh sb="0" eb="2">
      <t>ハッコウ</t>
    </rPh>
    <rPh sb="5" eb="8">
      <t>セイキュウショ</t>
    </rPh>
    <rPh sb="9" eb="11">
      <t>ショウサイ</t>
    </rPh>
    <rPh sb="30" eb="32">
      <t>ジョウホウ</t>
    </rPh>
    <rPh sb="37" eb="39">
      <t>シヨウ</t>
    </rPh>
    <phoneticPr fontId="15"/>
  </si>
  <si>
    <t>ボタン"請求書作成"</t>
    <rPh sb="4" eb="9">
      <t>セイキュウショサクセイ</t>
    </rPh>
    <phoneticPr fontId="15"/>
  </si>
  <si>
    <t>請求書のひな型です。</t>
    <rPh sb="0" eb="3">
      <t>セイキュウショ</t>
    </rPh>
    <rPh sb="6" eb="7">
      <t>ガタ</t>
    </rPh>
    <phoneticPr fontId="15"/>
  </si>
  <si>
    <t>マクロが利用します。</t>
    <rPh sb="4" eb="6">
      <t>リヨウ</t>
    </rPh>
    <phoneticPr fontId="15"/>
  </si>
  <si>
    <t>※記載されている金額はサンプルです。</t>
    <rPh sb="1" eb="3">
      <t>キサイ</t>
    </rPh>
    <rPh sb="8" eb="10">
      <t>キンガク</t>
    </rPh>
    <phoneticPr fontId="15"/>
  </si>
  <si>
    <t>クリックするとテーブルの情報を使用し、請求書を作成、PDFで別フォルダに保存します。</t>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</si>
</sst>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5" formatCode="&quot;¥&quot;#,##0;&quot;¥&quot;\-#,##0"/>
    <numFmt numFmtId="176" formatCode="[$-411]ggge&quot;年&quot;m&quot;月&quot;d&quot;日&quot;;@"/>
    <numFmt numFmtId="177" formatCode="#,##0_ "/>
    <numFmt numFmtId="178" formatCode="000000"/>
  </numFmts>
  <fonts count="16" x14ac:knownFonts="1">
    <font>
      <sz val="11"/>
      <color theme="1"/>
      <name val="ＭＳ Ｐゴシック"/>
      <family val="3"/>
      <charset val="128"/>
      <scheme val="minor"/>
    </font>
    <font>
      <sz val="6"/>
      <name val="ＭＳ Ｐゴシック"/>
      <family val="3"/>
      <charset val="128"/>
    </font>
    <font>
      <sz val="6"/>
      <name val="ＭＳ Ｐゴシック"/>
      <family val="3"/>
      <charset val="128"/>
    </font>
    <font>
      <sz val="6"/>
      <name val="ＭＳ Ｐゴシック"/>
      <family val="3"/>
      <charset val="128"/>
    </font>
    <font>
      <b/>
      <sz val="11"/>
      <color indexed="9"/>
      <name val="ＭＳ Ｐゴシック"/>
      <family val="3"/>
      <charset val="128"/>
    </font>
    <font>
      <sz val="18"/>
      <name val="HGP創英ﾌﾟﾚｾﾞﾝｽEB"/>
      <family val="1"/>
      <charset val="128"/>
    </font>
    <font>
      <b/>
      <sz val="11"/>
      <name val="HGP創英ﾌﾟﾚｾﾞﾝｽEB"/>
      <family val="1"/>
      <charset val="128"/>
    </font>
    <font>
      <b/>
      <sz val="16"/>
      <name val="HGP創英ﾌﾟﾚｾﾞﾝｽEB"/>
      <family val="1"/>
      <charset val="128"/>
    </font>
    <font>
      <sz val="11"/>
      <name val="HGP創英ﾌﾟﾚｾﾞﾝｽEB"/>
      <family val="1"/>
      <charset val="128"/>
    </font>
    <font>
      <b/>
      <sz val="14"/>
      <name val="HGP創英ﾌﾟﾚｾﾞﾝｽEB"/>
      <family val="1"/>
      <charset val="128"/>
    </font>
    <font>
      <sz val="10"/>
      <name val="HGP創英ﾌﾟﾚｾﾞﾝｽEB"/>
      <family val="1"/>
      <charset val="128"/>
    </font>
    <font>
      <sz val="10"/>
      <name val="ＭＳ 明朝"/>
      <family val="1"/>
      <charset val="128"/>
    </font>
    <font>
      <sz val="11"/>
      <name val="游ゴシック"/>
      <family val="3"/>
      <charset val="128"/>
    </font>
    <font>
      <sz val="11"/>
      <color theme="1"/>
      <name val="ＭＳ Ｐゴシック"/>
      <family val="3"/>
      <charset val="128"/>
      <scheme val="minor"/>
    </font>
    <font>
      <sz val="11"/>
      <color rgb="FF000000"/>
      <name val="ＭＳ Ｐゴシック"/>
      <family val="3"/>
      <charset val="128"/>
    </font>
    <font>
      <sz val="6"/>
      <name val="ＭＳ Ｐゴシック"/>
      <family val="3"/>
      <charset val="128"/>
      <scheme val="minor"/>
    </font>
  </fonts>
  <fills count="6">
    <fill>
      <patternFill patternType="none"/>
    </fill>
    <fill>
      <patternFill patternType="gray125"/>
    </fill>
    <fill>
      <patternFill patternType="solid">
        <fgColor indexed="22"/>
        <bgColor indexed="64"/>
      </patternFill>
    </fill>
    <fill>
      <patternFill patternType="solid">
        <fgColor indexed="56"/>
        <bgColor indexed="64"/>
      </patternFill>
    </fill>
    <fill>
      <patternFill patternType="solid">
        <fgColor indexed="55"/>
        <bgColor indexed="64"/>
      </patternFill>
    </fill>
    <fill>
      <patternFill patternType="solid">
        <fgColor indexed="62"/>
        <bgColor indexed="64"/>
      </patternFill>
    </fill>
  </fills>
  <borders count="20">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23"/>
      </left>
      <right style="hair">
        <color indexed="23"/>
      </right>
      <top style="thin">
        <color indexed="23"/>
      </top>
      <bottom style="hair">
        <color indexed="23"/>
      </bottom>
      <diagonal/>
    </border>
    <border>
      <left style="hair">
        <color indexed="23"/>
      </left>
      <right style="hair">
        <color indexed="23"/>
      </right>
      <top style="thin">
        <color indexed="23"/>
      </top>
      <bottom style="hair">
        <color indexed="23"/>
      </bottom>
      <diagonal/>
    </border>
    <border>
      <left style="hair">
        <color indexed="23"/>
      </left>
      <right style="thin">
        <color indexed="23"/>
      </right>
      <top style="thin">
        <color indexed="23"/>
      </top>
      <bottom style="hair">
        <color indexed="23"/>
      </bottom>
      <diagonal/>
    </border>
    <border>
      <left/>
      <right style="hair">
        <color indexed="23"/>
      </right>
      <top style="thin">
        <color indexed="23"/>
      </top>
      <bottom style="hair">
        <color indexed="23"/>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bottom style="thick">
        <color auto="1"/>
      </bottom>
      <diagonal/>
    </border>
  </borders>
  <cellStyleXfs count="4">
    <xf numFmtId="0" fontId="0" fillId="0" borderId="0">
      <alignment vertical="center"/>
    </xf>
    <xf numFmtId="38" fontId="13" fillId="0" borderId="0" applyFont="0" applyFill="0" applyBorder="0" applyAlignment="0" applyProtection="0">
      <alignment vertical="center"/>
    </xf>
    <xf numFmtId="0" fontId="11" fillId="0" borderId="0">
      <alignment vertical="center"/>
    </xf>
    <xf numFmtId="0" fontId="12" fillId="0" borderId="0"/>
  </cellStyleXfs>
  <cellXfs count="57">
    <xf numFmtId="0" fontId="0" fillId="0" borderId="0" xfId="0">
      <alignment vertical="center"/>
    </xf>
    <xf numFmtId="14" fontId="0" fillId="0" borderId="0" xfId="0" applyNumberFormat="1">
      <alignment vertical="center"/>
    </xf>
    <xf numFmtId="0" fontId="5" fillId="0" borderId="0" xfId="3" applyFont="1" applyAlignment="1">
      <alignment horizontal="center"/>
    </xf>
    <xf numFmtId="0" fontId="8" fillId="0" borderId="0" xfId="3" applyFont="1"/>
    <xf numFmtId="0" fontId="8" fillId="0" borderId="0" xfId="3" applyFont="1" applyBorder="1"/>
    <xf numFmtId="0" fontId="8" fillId="0" borderId="1" xfId="3" applyFont="1" applyBorder="1"/>
    <xf numFmtId="0" fontId="8" fillId="2" borderId="2" xfId="3" applyFont="1" applyFill="1" applyBorder="1" applyAlignment="1">
      <alignment horizontal="center" vertical="center"/>
    </xf>
    <xf numFmtId="5" fontId="8" fillId="0" borderId="3" xfId="3" applyNumberFormat="1" applyFont="1" applyBorder="1"/>
    <xf numFmtId="0" fontId="8" fillId="0" borderId="0" xfId="3" applyFont="1" applyBorder="1" applyAlignment="1">
      <alignment horizontal="right"/>
    </xf>
    <xf numFmtId="0" fontId="8" fillId="0" borderId="4" xfId="3" applyFont="1" applyBorder="1" applyAlignment="1">
      <alignment horizontal="right"/>
    </xf>
    <xf numFmtId="0" fontId="8" fillId="0" borderId="0" xfId="3" applyFont="1" applyBorder="1" applyAlignment="1">
      <alignment horizontal="left"/>
    </xf>
    <xf numFmtId="5" fontId="8" fillId="0" borderId="5" xfId="3" applyNumberFormat="1" applyFont="1" applyBorder="1"/>
    <xf numFmtId="5" fontId="8" fillId="0" borderId="0" xfId="3" applyNumberFormat="1" applyFont="1" applyBorder="1" applyAlignment="1">
      <alignment horizontal="left"/>
    </xf>
    <xf numFmtId="0" fontId="8" fillId="0" borderId="0" xfId="3" applyFont="1" applyBorder="1" applyAlignment="1">
      <alignment vertical="center"/>
    </xf>
    <xf numFmtId="0" fontId="8" fillId="0" borderId="0" xfId="3" applyFont="1" applyBorder="1" applyAlignment="1">
      <alignment horizontal="left" vertical="center"/>
    </xf>
    <xf numFmtId="0" fontId="10" fillId="0" borderId="0" xfId="3" applyFont="1" applyBorder="1" applyAlignment="1">
      <alignment horizontal="center" vertical="center"/>
    </xf>
    <xf numFmtId="0" fontId="10" fillId="0" borderId="0" xfId="3" applyFont="1" applyBorder="1" applyAlignment="1">
      <alignment vertical="center"/>
    </xf>
    <xf numFmtId="178" fontId="10" fillId="0" borderId="0" xfId="3" applyNumberFormat="1" applyFont="1" applyBorder="1" applyAlignment="1">
      <alignment horizontal="center" vertical="center"/>
    </xf>
    <xf numFmtId="31" fontId="8" fillId="0" borderId="0" xfId="3" applyNumberFormat="1" applyFont="1"/>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4" fillId="3" borderId="8" xfId="0" applyFont="1" applyFill="1" applyBorder="1" applyAlignment="1">
      <alignment horizontal="center" vertical="center" wrapText="1"/>
    </xf>
    <xf numFmtId="0" fontId="4" fillId="4" borderId="7" xfId="0" applyFont="1" applyFill="1" applyBorder="1" applyAlignment="1">
      <alignment horizontal="center" vertical="center" wrapText="1"/>
    </xf>
    <xf numFmtId="0" fontId="4" fillId="5" borderId="7" xfId="0" applyFont="1" applyFill="1" applyBorder="1" applyAlignment="1">
      <alignment horizontal="center" vertical="center" wrapText="1"/>
    </xf>
    <xf numFmtId="38" fontId="13" fillId="0" borderId="0" xfId="1" applyFont="1">
      <alignment vertical="center"/>
    </xf>
    <xf numFmtId="0" fontId="0" fillId="0" borderId="0" xfId="0" applyFill="1">
      <alignment vertical="center"/>
    </xf>
    <xf numFmtId="0" fontId="0" fillId="0" borderId="0" xfId="0" applyFill="1" applyBorder="1">
      <alignment vertical="center"/>
    </xf>
    <xf numFmtId="5" fontId="8" fillId="0" borderId="2" xfId="3" applyNumberFormat="1" applyFont="1" applyBorder="1"/>
    <xf numFmtId="177" fontId="8" fillId="0" borderId="2" xfId="3" applyNumberFormat="1" applyFont="1" applyFill="1" applyBorder="1"/>
    <xf numFmtId="0" fontId="4" fillId="3" borderId="9" xfId="0" applyFont="1" applyFill="1" applyBorder="1" applyAlignment="1">
      <alignment horizontal="center" vertical="center" wrapText="1"/>
    </xf>
    <xf numFmtId="0" fontId="7" fillId="0" borderId="10" xfId="3" applyNumberFormat="1" applyFont="1" applyFill="1" applyBorder="1" applyAlignment="1">
      <alignment horizontal="left"/>
    </xf>
    <xf numFmtId="0" fontId="5" fillId="0" borderId="0" xfId="3" applyFont="1" applyAlignment="1">
      <alignment horizontal="centerContinuous"/>
    </xf>
    <xf numFmtId="176" fontId="6" fillId="0" borderId="0" xfId="3" applyNumberFormat="1" applyFont="1" applyFill="1" applyAlignment="1">
      <alignment horizontal="centerContinuous"/>
    </xf>
    <xf numFmtId="176" fontId="6" fillId="0" borderId="0" xfId="3" applyNumberFormat="1" applyFont="1" applyFill="1" applyBorder="1" applyAlignment="1">
      <alignment horizontal="centerContinuous"/>
    </xf>
    <xf numFmtId="0" fontId="8" fillId="0" borderId="11" xfId="3" applyFont="1" applyFill="1" applyBorder="1" applyAlignment="1">
      <alignment horizontal="left"/>
    </xf>
    <xf numFmtId="0" fontId="8" fillId="0" borderId="12" xfId="3" applyFont="1" applyFill="1" applyBorder="1" applyAlignment="1">
      <alignment horizontal="left"/>
    </xf>
    <xf numFmtId="0" fontId="8" fillId="0" borderId="3" xfId="3" applyFont="1" applyFill="1" applyBorder="1" applyAlignment="1">
      <alignment horizontal="left"/>
    </xf>
    <xf numFmtId="5" fontId="9" fillId="0" borderId="1" xfId="3" applyNumberFormat="1" applyFont="1" applyFill="1" applyBorder="1" applyAlignment="1">
      <alignment horizontal="centerContinuous"/>
    </xf>
    <xf numFmtId="0" fontId="8" fillId="0" borderId="13" xfId="3" applyFont="1" applyBorder="1"/>
    <xf numFmtId="0" fontId="0" fillId="0" borderId="0" xfId="0" applyBorder="1">
      <alignment vertical="center"/>
    </xf>
    <xf numFmtId="14" fontId="0" fillId="0" borderId="0" xfId="0" applyNumberFormat="1" applyBorder="1">
      <alignment vertical="center"/>
    </xf>
    <xf numFmtId="38" fontId="13" fillId="0" borderId="0" xfId="1" applyFont="1" applyBorder="1">
      <alignment vertical="center"/>
    </xf>
    <xf numFmtId="0" fontId="4" fillId="5" borderId="0" xfId="0" applyFont="1" applyFill="1" applyBorder="1" applyAlignment="1">
      <alignment horizontal="center" vertical="center" wrapText="1"/>
    </xf>
    <xf numFmtId="38" fontId="0" fillId="0" borderId="0" xfId="1" applyFont="1">
      <alignment vertical="center"/>
    </xf>
    <xf numFmtId="0" fontId="8" fillId="0" borderId="0" xfId="3" applyNumberFormat="1" applyFont="1"/>
    <xf numFmtId="0" fontId="0" fillId="0" borderId="19" xfId="0" applyBorder="1">
      <alignment vertical="center"/>
    </xf>
    <xf numFmtId="0" fontId="8" fillId="2" borderId="11" xfId="3" applyFont="1" applyFill="1" applyBorder="1" applyAlignment="1">
      <alignment horizontal="center" vertical="center"/>
    </xf>
    <xf numFmtId="0" fontId="8" fillId="2" borderId="12" xfId="3" applyFont="1" applyFill="1" applyBorder="1" applyAlignment="1">
      <alignment horizontal="center" vertical="center"/>
    </xf>
    <xf numFmtId="0" fontId="8" fillId="2" borderId="3" xfId="3" applyFont="1" applyFill="1" applyBorder="1" applyAlignment="1">
      <alignment horizontal="center" vertical="center"/>
    </xf>
    <xf numFmtId="0" fontId="8" fillId="0" borderId="10" xfId="3" applyFont="1" applyBorder="1" applyAlignment="1">
      <alignment horizontal="center"/>
    </xf>
    <xf numFmtId="0" fontId="8" fillId="0" borderId="14" xfId="3" applyFont="1" applyBorder="1" applyAlignment="1">
      <alignment horizontal="center"/>
    </xf>
    <xf numFmtId="0" fontId="8" fillId="0" borderId="15" xfId="3" applyFont="1" applyBorder="1" applyAlignment="1">
      <alignment horizontal="right"/>
    </xf>
    <xf numFmtId="0" fontId="8" fillId="0" borderId="16" xfId="3" applyFont="1" applyBorder="1" applyAlignment="1">
      <alignment horizontal="right"/>
    </xf>
    <xf numFmtId="177" fontId="8" fillId="0" borderId="17" xfId="3" applyNumberFormat="1" applyFont="1" applyBorder="1" applyAlignment="1">
      <alignment horizontal="center"/>
    </xf>
    <xf numFmtId="177" fontId="8" fillId="0" borderId="18" xfId="3" applyNumberFormat="1" applyFont="1" applyBorder="1" applyAlignment="1">
      <alignment horizontal="center"/>
    </xf>
    <xf numFmtId="0" fontId="8" fillId="0" borderId="0" xfId="3" applyFont="1" applyBorder="1" applyAlignment="1">
      <alignment horizontal="right"/>
    </xf>
    <xf numFmtId="0" fontId="8" fillId="0" borderId="4" xfId="3" applyFont="1" applyBorder="1" applyAlignment="1">
      <alignment horizontal="right"/>
    </xf>
  </cellXfs>
  <cellStyles count="4">
    <cellStyle name="桁区切り" xfId="1" builtinId="6"/>
    <cellStyle name="標準" xfId="0" builtinId="0"/>
    <cellStyle name="標準 2" xfId="2" xr:uid="{00000000-0005-0000-0000-000002000000}"/>
    <cellStyle name="標準_請求書 2 Excel2" xfId="3" xr:uid="{00000000-0005-0000-0000-000003000000}"/>
  </cellStyles>
  <dxfs count="47">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
      <border>
        <left style="hair">
          <color indexed="64"/>
        </left>
        <right style="hair">
          <color indexed="64"/>
        </right>
        <top style="hair">
          <color indexed="64"/>
        </top>
        <bottom style="hair">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219075</xdr:colOff>
          <xdr:row>18</xdr:row>
          <xdr:rowOff>19050</xdr:rowOff>
        </xdr:from>
        <xdr:to>
          <xdr:col>6</xdr:col>
          <xdr:colOff>180975</xdr:colOff>
          <xdr:row>29</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請求書作成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2981E-6533-4BA7-8D64-56B84AC6526D}">
  <sheetPr codeName="Sheet1"/>
  <dimension ref="A2:C22"/>
  <sheetViews>
    <sheetView showGridLines="0" workbookViewId="0"/>
  </sheetViews>
  <sheetFormatPr defaultColWidth="2.25" defaultRowHeight="13.5" x14ac:dyDescent="0.15"/>
  <sheetData>
    <row r="2" spans="1:3" s="45" customFormat="1" ht="14.25" thickBot="1" x14ac:dyDescent="0.2">
      <c r="A2" s="45" t="s">
        <v>50</v>
      </c>
    </row>
    <row r="3" spans="1:3" s="39" customFormat="1" ht="14.25" thickTop="1" x14ac:dyDescent="0.15"/>
    <row r="4" spans="1:3" s="39" customFormat="1" x14ac:dyDescent="0.15">
      <c r="B4" s="39" t="s">
        <v>53</v>
      </c>
    </row>
    <row r="5" spans="1:3" s="39" customFormat="1" x14ac:dyDescent="0.15">
      <c r="B5" s="39" t="s">
        <v>54</v>
      </c>
    </row>
    <row r="6" spans="1:3" s="39" customFormat="1" x14ac:dyDescent="0.15">
      <c r="B6" s="39" t="s">
        <v>55</v>
      </c>
    </row>
    <row r="7" spans="1:3" s="39" customFormat="1" x14ac:dyDescent="0.15"/>
    <row r="8" spans="1:3" s="39" customFormat="1" x14ac:dyDescent="0.15">
      <c r="B8" s="26" t="s">
        <v>60</v>
      </c>
    </row>
    <row r="9" spans="1:3" s="39" customFormat="1" x14ac:dyDescent="0.15">
      <c r="B9" s="26"/>
    </row>
    <row r="10" spans="1:3" s="39" customFormat="1" x14ac:dyDescent="0.15"/>
    <row r="11" spans="1:3" s="45" customFormat="1" ht="14.25" thickBot="1" x14ac:dyDescent="0.2">
      <c r="A11" s="45" t="s">
        <v>51</v>
      </c>
    </row>
    <row r="12" spans="1:3" s="39" customFormat="1" ht="14.25" thickTop="1" x14ac:dyDescent="0.15"/>
    <row r="13" spans="1:3" s="39" customFormat="1" x14ac:dyDescent="0.15">
      <c r="B13" s="39" t="s">
        <v>56</v>
      </c>
    </row>
    <row r="14" spans="1:3" s="39" customFormat="1" x14ac:dyDescent="0.15"/>
    <row r="15" spans="1:3" s="39" customFormat="1" x14ac:dyDescent="0.15">
      <c r="B15" s="39" t="s">
        <v>57</v>
      </c>
    </row>
    <row r="16" spans="1:3" s="39" customFormat="1" x14ac:dyDescent="0.15">
      <c r="C16" s="39" t="s">
        <v>61</v>
      </c>
    </row>
    <row r="17" spans="1:2" s="39" customFormat="1" x14ac:dyDescent="0.15"/>
    <row r="19" spans="1:2" s="45" customFormat="1" ht="14.25" thickBot="1" x14ac:dyDescent="0.2">
      <c r="A19" s="45" t="s">
        <v>52</v>
      </c>
    </row>
    <row r="20" spans="1:2" ht="14.25" thickTop="1" x14ac:dyDescent="0.15"/>
    <row r="21" spans="1:2" x14ac:dyDescent="0.15">
      <c r="B21" t="s">
        <v>58</v>
      </c>
    </row>
    <row r="22" spans="1:2" x14ac:dyDescent="0.15">
      <c r="B22" t="s">
        <v>59</v>
      </c>
    </row>
  </sheetData>
  <sheetProtection sheet="1" objects="1" scenarios="1"/>
  <phoneticPr fontId="15"/>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0070C0"/>
  </sheetPr>
  <dimension ref="A1:V97"/>
  <sheetViews>
    <sheetView view="pageBreakPreview" zoomScale="90" zoomScaleNormal="115" zoomScaleSheetLayoutView="90" workbookViewId="0"/>
  </sheetViews>
  <sheetFormatPr defaultRowHeight="13.5" x14ac:dyDescent="0.15"/>
  <cols>
    <col min="1" max="2" width="4.5" bestFit="1" customWidth="1"/>
    <col min="3" max="3" width="13.25" bestFit="1" customWidth="1"/>
    <col min="4" max="5" width="13" bestFit="1" customWidth="1"/>
    <col min="6" max="6" width="9.875" bestFit="1" customWidth="1"/>
    <col min="7" max="7" width="7.875" bestFit="1" customWidth="1"/>
    <col min="8" max="8" width="9.125" bestFit="1" customWidth="1"/>
    <col min="9" max="9" width="10.75" bestFit="1" customWidth="1"/>
    <col min="10" max="10" width="9.875" bestFit="1" customWidth="1"/>
    <col min="11" max="11" width="7.875" bestFit="1" customWidth="1"/>
    <col min="12" max="12" width="9.125" bestFit="1" customWidth="1"/>
    <col min="13" max="13" width="10.75" bestFit="1" customWidth="1"/>
    <col min="14" max="14" width="9.875" bestFit="1" customWidth="1"/>
    <col min="15" max="15" width="7.875" bestFit="1" customWidth="1"/>
    <col min="16" max="16" width="9.125" bestFit="1" customWidth="1"/>
    <col min="17" max="17" width="10.75" bestFit="1" customWidth="1"/>
    <col min="18" max="18" width="9.875" bestFit="1" customWidth="1"/>
    <col min="19" max="19" width="7.875" bestFit="1" customWidth="1"/>
    <col min="20" max="20" width="9.125" bestFit="1" customWidth="1"/>
    <col min="21" max="21" width="10.75" bestFit="1" customWidth="1"/>
    <col min="22" max="22" width="6.625" bestFit="1" customWidth="1"/>
  </cols>
  <sheetData>
    <row r="1" spans="1:22" ht="32.1" customHeight="1" x14ac:dyDescent="0.15"/>
    <row r="2" spans="1:22" ht="27" x14ac:dyDescent="0.15">
      <c r="A2" s="19" t="s">
        <v>13</v>
      </c>
      <c r="B2" s="29" t="s">
        <v>28</v>
      </c>
      <c r="C2" s="20" t="s">
        <v>14</v>
      </c>
      <c r="D2" s="20" t="s">
        <v>15</v>
      </c>
      <c r="E2" s="21" t="s">
        <v>16</v>
      </c>
      <c r="F2" s="22" t="s">
        <v>17</v>
      </c>
      <c r="G2" s="22" t="s">
        <v>18</v>
      </c>
      <c r="H2" s="22" t="s">
        <v>19</v>
      </c>
      <c r="I2" s="22" t="s">
        <v>20</v>
      </c>
      <c r="J2" s="23" t="s">
        <v>21</v>
      </c>
      <c r="K2" s="23" t="s">
        <v>22</v>
      </c>
      <c r="L2" s="23" t="s">
        <v>23</v>
      </c>
      <c r="M2" s="23" t="s">
        <v>20</v>
      </c>
      <c r="N2" s="22" t="s">
        <v>25</v>
      </c>
      <c r="O2" s="22" t="s">
        <v>18</v>
      </c>
      <c r="P2" s="22" t="s">
        <v>19</v>
      </c>
      <c r="Q2" s="22" t="s">
        <v>20</v>
      </c>
      <c r="R2" s="23" t="s">
        <v>26</v>
      </c>
      <c r="S2" s="23" t="s">
        <v>22</v>
      </c>
      <c r="T2" s="23" t="s">
        <v>23</v>
      </c>
      <c r="U2" s="23" t="s">
        <v>20</v>
      </c>
      <c r="V2" s="42" t="s">
        <v>29</v>
      </c>
    </row>
    <row r="3" spans="1:22" x14ac:dyDescent="0.15">
      <c r="A3">
        <v>1</v>
      </c>
      <c r="B3">
        <v>1</v>
      </c>
      <c r="C3" t="s">
        <v>35</v>
      </c>
      <c r="D3" s="1">
        <v>43769</v>
      </c>
      <c r="E3" s="1">
        <f>D3+10</f>
        <v>43779</v>
      </c>
      <c r="F3" t="str">
        <f>"○○分"&amp;" Column" &amp; COLUMN()</f>
        <v>○○分 Column6</v>
      </c>
      <c r="G3" s="24">
        <v>1</v>
      </c>
      <c r="H3" s="24">
        <v>825254</v>
      </c>
      <c r="I3" s="24">
        <f t="shared" ref="I3:I17" si="0">IF(H3="","",H3*G3*1.05)</f>
        <v>866516.70000000007</v>
      </c>
      <c r="J3" t="str">
        <f>"○○分"&amp;" Column" &amp; COLUMN()</f>
        <v>○○分 Column10</v>
      </c>
      <c r="K3" s="24">
        <v>1</v>
      </c>
      <c r="L3" s="24">
        <v>609339</v>
      </c>
      <c r="M3" s="24">
        <f t="shared" ref="M3:M17" si="1">IF(L3="","",L3*K3*1.05)</f>
        <v>639805.95000000007</v>
      </c>
      <c r="N3" t="str">
        <f>"○○分"&amp;" Column" &amp; COLUMN()</f>
        <v>○○分 Column14</v>
      </c>
      <c r="O3" s="24">
        <v>1</v>
      </c>
      <c r="P3" s="24">
        <v>983236</v>
      </c>
      <c r="Q3" s="24">
        <f t="shared" ref="Q3:Q17" si="2">IF(P3="","",P3*O3*1.05)</f>
        <v>1032397.8</v>
      </c>
      <c r="R3" t="str">
        <f>"○○分"&amp;" Column" &amp; COLUMN()</f>
        <v>○○分 Column18</v>
      </c>
      <c r="S3" s="24">
        <v>1</v>
      </c>
      <c r="T3" s="24">
        <v>522185</v>
      </c>
      <c r="U3" s="24">
        <f t="shared" ref="U3:U17" si="3">IF(T3="","",T3*S3*1.05)</f>
        <v>548294.25</v>
      </c>
      <c r="V3" s="43" t="s">
        <v>30</v>
      </c>
    </row>
    <row r="4" spans="1:22" x14ac:dyDescent="0.15">
      <c r="A4">
        <v>2</v>
      </c>
      <c r="C4" t="s">
        <v>36</v>
      </c>
      <c r="D4" s="1">
        <v>43770</v>
      </c>
      <c r="E4" s="1">
        <f t="shared" ref="E4:E17" si="4">D4+10</f>
        <v>43780</v>
      </c>
      <c r="F4" t="str">
        <f>"〇か月分"&amp;" Column" &amp; COLUMN()</f>
        <v>〇か月分 Column6</v>
      </c>
      <c r="G4" s="24">
        <v>6</v>
      </c>
      <c r="H4" s="24">
        <v>770630</v>
      </c>
      <c r="I4" s="24">
        <f t="shared" si="0"/>
        <v>4854969</v>
      </c>
      <c r="J4" t="str">
        <f>"〇か月分"&amp;" Column" &amp; COLUMN()</f>
        <v>〇か月分 Column10</v>
      </c>
      <c r="K4" s="24">
        <v>3</v>
      </c>
      <c r="L4" s="24">
        <v>892247</v>
      </c>
      <c r="M4" s="24">
        <f t="shared" si="1"/>
        <v>2810578.0500000003</v>
      </c>
      <c r="N4" t="str">
        <f>"〇か月分"&amp;" Column" &amp; COLUMN()</f>
        <v>〇か月分 Column14</v>
      </c>
      <c r="O4" s="24">
        <v>3</v>
      </c>
      <c r="P4" s="24">
        <v>245675</v>
      </c>
      <c r="Q4" s="24">
        <f t="shared" si="2"/>
        <v>773876.25</v>
      </c>
      <c r="R4" t="str">
        <f>"〇か月分"&amp;" Column" &amp; COLUMN()</f>
        <v>〇か月分 Column18</v>
      </c>
      <c r="S4" s="24">
        <v>3</v>
      </c>
      <c r="T4" s="24">
        <v>179601</v>
      </c>
      <c r="U4" s="24">
        <f t="shared" si="3"/>
        <v>565743.15</v>
      </c>
      <c r="V4" s="43" t="s">
        <v>31</v>
      </c>
    </row>
    <row r="5" spans="1:22" x14ac:dyDescent="0.15">
      <c r="A5">
        <v>3</v>
      </c>
      <c r="B5">
        <v>1</v>
      </c>
      <c r="C5" t="s">
        <v>37</v>
      </c>
      <c r="D5" s="1">
        <v>43771</v>
      </c>
      <c r="E5" s="1">
        <f t="shared" si="4"/>
        <v>43781</v>
      </c>
      <c r="F5" t="str">
        <f>"〇月分"&amp;" Column" &amp; COLUMN()</f>
        <v>〇月分 Column6</v>
      </c>
      <c r="G5" s="24">
        <v>2</v>
      </c>
      <c r="H5" s="24">
        <v>372807</v>
      </c>
      <c r="I5" s="24">
        <f t="shared" si="0"/>
        <v>782894.70000000007</v>
      </c>
      <c r="J5" t="str">
        <f>"〇月分"&amp;" Column" &amp; COLUMN()</f>
        <v>〇月分 Column10</v>
      </c>
      <c r="K5" s="24">
        <v>1</v>
      </c>
      <c r="L5" s="24">
        <v>457097</v>
      </c>
      <c r="M5" s="24">
        <f t="shared" si="1"/>
        <v>479951.85000000003</v>
      </c>
      <c r="N5" t="str">
        <f>"〇月分"&amp;" Column" &amp; COLUMN()</f>
        <v>〇月分 Column14</v>
      </c>
      <c r="O5" s="24">
        <v>1</v>
      </c>
      <c r="P5" s="24">
        <v>181982</v>
      </c>
      <c r="Q5" s="24">
        <f t="shared" si="2"/>
        <v>191081.1</v>
      </c>
      <c r="R5" t="str">
        <f>"〇月分"&amp;" Column" &amp; COLUMN()</f>
        <v>〇月分 Column18</v>
      </c>
      <c r="S5" s="24">
        <v>1</v>
      </c>
      <c r="T5" s="24">
        <v>634191</v>
      </c>
      <c r="U5" s="24">
        <f t="shared" si="3"/>
        <v>665900.55000000005</v>
      </c>
      <c r="V5" s="43" t="s">
        <v>32</v>
      </c>
    </row>
    <row r="6" spans="1:22" x14ac:dyDescent="0.15">
      <c r="A6" s="26">
        <v>4</v>
      </c>
      <c r="B6" s="26">
        <v>1</v>
      </c>
      <c r="C6" t="s">
        <v>38</v>
      </c>
      <c r="D6" s="1">
        <v>43772</v>
      </c>
      <c r="E6" s="1">
        <f t="shared" si="4"/>
        <v>43782</v>
      </c>
      <c r="F6" t="str">
        <f>"○○分"&amp;" Column" &amp; COLUMN()</f>
        <v>○○分 Column6</v>
      </c>
      <c r="G6" s="24">
        <v>1</v>
      </c>
      <c r="H6" s="24">
        <v>843994</v>
      </c>
      <c r="I6" s="24">
        <f t="shared" si="0"/>
        <v>886193.70000000007</v>
      </c>
      <c r="J6" t="str">
        <f>"○○分"&amp;" Column" &amp; COLUMN()</f>
        <v>○○分 Column10</v>
      </c>
      <c r="K6" s="24">
        <v>1</v>
      </c>
      <c r="L6" s="24">
        <v>883836</v>
      </c>
      <c r="M6" s="24">
        <f t="shared" si="1"/>
        <v>928027.8</v>
      </c>
      <c r="N6" t="str">
        <f>"○○分"&amp;" Column" &amp; COLUMN()</f>
        <v>○○分 Column14</v>
      </c>
      <c r="O6" s="24">
        <v>1</v>
      </c>
      <c r="P6" s="24">
        <v>323534</v>
      </c>
      <c r="Q6" s="24">
        <f t="shared" si="2"/>
        <v>339710.7</v>
      </c>
      <c r="R6" t="str">
        <f>"○○分"&amp;" Column" &amp; COLUMN()</f>
        <v>○○分 Column18</v>
      </c>
      <c r="S6" s="24">
        <v>1</v>
      </c>
      <c r="T6" s="24">
        <v>314715</v>
      </c>
      <c r="U6" s="24">
        <f t="shared" si="3"/>
        <v>330450.75</v>
      </c>
      <c r="V6" s="43" t="s">
        <v>30</v>
      </c>
    </row>
    <row r="7" spans="1:22" x14ac:dyDescent="0.15">
      <c r="A7" s="26">
        <v>5</v>
      </c>
      <c r="B7" s="26"/>
      <c r="C7" t="s">
        <v>39</v>
      </c>
      <c r="D7" s="1">
        <v>43773</v>
      </c>
      <c r="E7" s="1">
        <f t="shared" si="4"/>
        <v>43783</v>
      </c>
      <c r="F7" t="str">
        <f>"〇か月分"&amp;" Column" &amp; COLUMN()</f>
        <v>〇か月分 Column6</v>
      </c>
      <c r="G7" s="24">
        <v>1</v>
      </c>
      <c r="H7" s="24">
        <v>717197</v>
      </c>
      <c r="I7" s="24">
        <f t="shared" si="0"/>
        <v>753056.85</v>
      </c>
      <c r="J7" t="str">
        <f>"〇か月分"&amp;" Column" &amp; COLUMN()</f>
        <v>〇か月分 Column10</v>
      </c>
      <c r="K7" s="24">
        <v>1</v>
      </c>
      <c r="L7" s="24">
        <v>910210</v>
      </c>
      <c r="M7" s="24">
        <f t="shared" si="1"/>
        <v>955720.5</v>
      </c>
      <c r="N7" t="str">
        <f>"〇か月分"&amp;" Column" &amp; COLUMN()</f>
        <v>〇か月分 Column14</v>
      </c>
      <c r="O7" s="24">
        <v>1</v>
      </c>
      <c r="P7" s="24">
        <v>513678</v>
      </c>
      <c r="Q7" s="24">
        <f t="shared" si="2"/>
        <v>539361.9</v>
      </c>
      <c r="R7" t="str">
        <f>"〇か月分"&amp;" Column" &amp; COLUMN()</f>
        <v>〇か月分 Column18</v>
      </c>
      <c r="S7" s="24">
        <v>1</v>
      </c>
      <c r="T7" s="24">
        <v>901428</v>
      </c>
      <c r="U7" s="24">
        <f t="shared" si="3"/>
        <v>946499.4</v>
      </c>
      <c r="V7" s="43" t="s">
        <v>31</v>
      </c>
    </row>
    <row r="8" spans="1:22" x14ac:dyDescent="0.15">
      <c r="A8" s="26">
        <v>6</v>
      </c>
      <c r="B8" s="26">
        <v>1</v>
      </c>
      <c r="C8" t="s">
        <v>40</v>
      </c>
      <c r="D8" s="1">
        <v>43774</v>
      </c>
      <c r="E8" s="1">
        <f t="shared" si="4"/>
        <v>43784</v>
      </c>
      <c r="F8" t="str">
        <f>"〇月分"&amp;" Column" &amp; COLUMN()</f>
        <v>〇月分 Column6</v>
      </c>
      <c r="G8" s="24">
        <v>1</v>
      </c>
      <c r="H8" s="24">
        <v>714956</v>
      </c>
      <c r="I8" s="24">
        <f t="shared" si="0"/>
        <v>750703.8</v>
      </c>
      <c r="J8" t="str">
        <f>"〇月分"&amp;" Column" &amp; COLUMN()</f>
        <v>〇月分 Column10</v>
      </c>
      <c r="K8" s="24">
        <v>1</v>
      </c>
      <c r="L8" s="24">
        <v>800083</v>
      </c>
      <c r="M8" s="24">
        <f t="shared" si="1"/>
        <v>840087.15</v>
      </c>
      <c r="N8" t="str">
        <f>"〇月分"&amp;" Column" &amp; COLUMN()</f>
        <v>〇月分 Column14</v>
      </c>
      <c r="O8" s="24">
        <v>1</v>
      </c>
      <c r="P8" s="24">
        <v>678512</v>
      </c>
      <c r="Q8" s="24">
        <f t="shared" si="2"/>
        <v>712437.6</v>
      </c>
      <c r="R8" t="str">
        <f>"〇月分"&amp;" Column" &amp; COLUMN()</f>
        <v>〇月分 Column18</v>
      </c>
      <c r="S8" s="24">
        <v>1</v>
      </c>
      <c r="T8" s="24">
        <v>773228</v>
      </c>
      <c r="U8" s="24">
        <f t="shared" si="3"/>
        <v>811889.4</v>
      </c>
      <c r="V8" s="43" t="s">
        <v>32</v>
      </c>
    </row>
    <row r="9" spans="1:22" x14ac:dyDescent="0.15">
      <c r="A9" s="26">
        <v>7</v>
      </c>
      <c r="C9" t="s">
        <v>41</v>
      </c>
      <c r="D9" s="1">
        <v>43775</v>
      </c>
      <c r="E9" s="1">
        <f t="shared" si="4"/>
        <v>43785</v>
      </c>
      <c r="F9" t="str">
        <f>"○○分"&amp;" Column" &amp; COLUMN()</f>
        <v>○○分 Column6</v>
      </c>
      <c r="G9" s="24">
        <v>6</v>
      </c>
      <c r="H9" s="24">
        <v>870117</v>
      </c>
      <c r="I9" s="24">
        <f t="shared" si="0"/>
        <v>5481737.1000000006</v>
      </c>
      <c r="J9" t="str">
        <f>"○○分"&amp;" Column" &amp; COLUMN()</f>
        <v>○○分 Column10</v>
      </c>
      <c r="K9" s="24">
        <v>3</v>
      </c>
      <c r="L9" s="24">
        <v>497469</v>
      </c>
      <c r="M9" s="24">
        <f t="shared" si="1"/>
        <v>1567027.35</v>
      </c>
      <c r="N9" t="str">
        <f>"○○分"&amp;" Column" &amp; COLUMN()</f>
        <v>○○分 Column14</v>
      </c>
      <c r="O9" s="24">
        <v>3</v>
      </c>
      <c r="P9" s="24">
        <v>403729</v>
      </c>
      <c r="Q9" s="24">
        <f t="shared" si="2"/>
        <v>1271746.3500000001</v>
      </c>
      <c r="R9" t="str">
        <f>"○○分"&amp;" Column" &amp; COLUMN()</f>
        <v>○○分 Column18</v>
      </c>
      <c r="S9" s="24">
        <v>3</v>
      </c>
      <c r="T9" s="24">
        <v>435670</v>
      </c>
      <c r="U9" s="24">
        <f t="shared" si="3"/>
        <v>1372360.5</v>
      </c>
      <c r="V9" s="43" t="s">
        <v>30</v>
      </c>
    </row>
    <row r="10" spans="1:22" x14ac:dyDescent="0.15">
      <c r="A10" s="26">
        <v>8</v>
      </c>
      <c r="B10">
        <v>1</v>
      </c>
      <c r="C10" t="s">
        <v>42</v>
      </c>
      <c r="D10" s="1">
        <v>43776</v>
      </c>
      <c r="E10" s="1">
        <f t="shared" si="4"/>
        <v>43786</v>
      </c>
      <c r="F10" t="str">
        <f>"〇か月分"&amp;" Column" &amp; COLUMN()</f>
        <v>〇か月分 Column6</v>
      </c>
      <c r="G10" s="24">
        <v>2</v>
      </c>
      <c r="H10" s="24">
        <v>130294</v>
      </c>
      <c r="I10" s="24">
        <f t="shared" si="0"/>
        <v>273617.40000000002</v>
      </c>
      <c r="J10" t="str">
        <f>"〇か月分"&amp;" Column" &amp; COLUMN()</f>
        <v>〇か月分 Column10</v>
      </c>
      <c r="K10" s="24">
        <v>1</v>
      </c>
      <c r="L10" s="24">
        <v>934115</v>
      </c>
      <c r="M10" s="24">
        <f t="shared" si="1"/>
        <v>980820.75</v>
      </c>
      <c r="N10" t="str">
        <f>"〇か月分"&amp;" Column" &amp; COLUMN()</f>
        <v>〇か月分 Column14</v>
      </c>
      <c r="O10" s="24">
        <v>1</v>
      </c>
      <c r="P10" s="24">
        <v>346149</v>
      </c>
      <c r="Q10" s="24">
        <f t="shared" si="2"/>
        <v>363456.45</v>
      </c>
      <c r="R10" t="str">
        <f>"〇か月分"&amp;" Column" &amp; COLUMN()</f>
        <v>〇か月分 Column18</v>
      </c>
      <c r="S10" s="24">
        <v>1</v>
      </c>
      <c r="T10" s="24">
        <v>876930</v>
      </c>
      <c r="U10" s="24">
        <f t="shared" si="3"/>
        <v>920776.5</v>
      </c>
      <c r="V10" s="43" t="s">
        <v>31</v>
      </c>
    </row>
    <row r="11" spans="1:22" x14ac:dyDescent="0.15">
      <c r="A11" s="26">
        <v>9</v>
      </c>
      <c r="C11" t="s">
        <v>43</v>
      </c>
      <c r="D11" s="1">
        <v>43777</v>
      </c>
      <c r="E11" s="1">
        <f t="shared" si="4"/>
        <v>43787</v>
      </c>
      <c r="F11" t="str">
        <f>"〇月分"&amp;" Column" &amp; COLUMN()</f>
        <v>〇月分 Column6</v>
      </c>
      <c r="G11" s="24">
        <v>1</v>
      </c>
      <c r="H11" s="24">
        <v>100437</v>
      </c>
      <c r="I11" s="24">
        <f t="shared" si="0"/>
        <v>105458.85</v>
      </c>
      <c r="J11" t="str">
        <f>"〇月分"&amp;" Column" &amp; COLUMN()</f>
        <v>〇月分 Column10</v>
      </c>
      <c r="K11" s="24">
        <v>1</v>
      </c>
      <c r="L11" s="24">
        <v>675888</v>
      </c>
      <c r="M11" s="24">
        <f t="shared" si="1"/>
        <v>709682.4</v>
      </c>
      <c r="N11" t="str">
        <f>"〇月分"&amp;" Column" &amp; COLUMN()</f>
        <v>〇月分 Column14</v>
      </c>
      <c r="O11" s="24">
        <v>1</v>
      </c>
      <c r="P11" s="24">
        <v>943744</v>
      </c>
      <c r="Q11" s="24">
        <f t="shared" si="2"/>
        <v>990931.20000000007</v>
      </c>
      <c r="R11" t="str">
        <f>"〇月分"&amp;" Column" &amp; COLUMN()</f>
        <v>〇月分 Column18</v>
      </c>
      <c r="S11" s="24">
        <v>1</v>
      </c>
      <c r="T11" s="24">
        <v>347069</v>
      </c>
      <c r="U11" s="24">
        <f t="shared" si="3"/>
        <v>364422.45</v>
      </c>
      <c r="V11" s="43" t="s">
        <v>32</v>
      </c>
    </row>
    <row r="12" spans="1:22" x14ac:dyDescent="0.15">
      <c r="A12" s="26">
        <v>10</v>
      </c>
      <c r="B12">
        <v>1</v>
      </c>
      <c r="C12" t="s">
        <v>44</v>
      </c>
      <c r="D12" s="1">
        <v>43778</v>
      </c>
      <c r="E12" s="1">
        <f t="shared" si="4"/>
        <v>43788</v>
      </c>
      <c r="F12" t="str">
        <f>"○○分"&amp;" Column" &amp; COLUMN()</f>
        <v>○○分 Column6</v>
      </c>
      <c r="G12" s="24">
        <v>1</v>
      </c>
      <c r="H12" s="24">
        <v>354365</v>
      </c>
      <c r="I12" s="24">
        <f t="shared" si="0"/>
        <v>372083.25</v>
      </c>
      <c r="J12" t="str">
        <f>"○○分"&amp;" Column" &amp; COLUMN()</f>
        <v>○○分 Column10</v>
      </c>
      <c r="K12" s="24">
        <v>1</v>
      </c>
      <c r="L12" s="24">
        <v>976683</v>
      </c>
      <c r="M12" s="24">
        <f t="shared" si="1"/>
        <v>1025517.15</v>
      </c>
      <c r="N12" t="str">
        <f>"○○分"&amp;" Column" &amp; COLUMN()</f>
        <v>○○分 Column14</v>
      </c>
      <c r="O12" s="24">
        <v>1</v>
      </c>
      <c r="P12" s="24">
        <v>713304</v>
      </c>
      <c r="Q12" s="24">
        <f t="shared" si="2"/>
        <v>748969.20000000007</v>
      </c>
      <c r="R12" t="str">
        <f>"○○分"&amp;" Column" &amp; COLUMN()</f>
        <v>○○分 Column18</v>
      </c>
      <c r="S12" s="24">
        <v>1</v>
      </c>
      <c r="T12" s="24">
        <v>311246</v>
      </c>
      <c r="U12" s="24">
        <f t="shared" si="3"/>
        <v>326808.3</v>
      </c>
      <c r="V12" s="43" t="s">
        <v>30</v>
      </c>
    </row>
    <row r="13" spans="1:22" x14ac:dyDescent="0.15">
      <c r="A13" s="26">
        <v>11</v>
      </c>
      <c r="C13" t="s">
        <v>45</v>
      </c>
      <c r="D13" s="1">
        <v>43779</v>
      </c>
      <c r="E13" s="1">
        <f t="shared" si="4"/>
        <v>43789</v>
      </c>
      <c r="F13" t="str">
        <f>"〇か月分"&amp;" Column" &amp; COLUMN()</f>
        <v>〇か月分 Column6</v>
      </c>
      <c r="G13" s="24">
        <v>1</v>
      </c>
      <c r="H13" s="24">
        <v>705510</v>
      </c>
      <c r="I13" s="24">
        <f t="shared" si="0"/>
        <v>740785.5</v>
      </c>
      <c r="J13" t="str">
        <f>"〇か月分"&amp;" Column" &amp; COLUMN()</f>
        <v>〇か月分 Column10</v>
      </c>
      <c r="K13" s="24">
        <v>1</v>
      </c>
      <c r="L13" s="24">
        <v>202986</v>
      </c>
      <c r="M13" s="24">
        <f t="shared" si="1"/>
        <v>213135.30000000002</v>
      </c>
      <c r="N13" t="str">
        <f>"〇か月分"&amp;" Column" &amp; COLUMN()</f>
        <v>〇か月分 Column14</v>
      </c>
      <c r="O13" s="24">
        <v>1</v>
      </c>
      <c r="P13" s="24">
        <v>340870</v>
      </c>
      <c r="Q13" s="24">
        <f t="shared" si="2"/>
        <v>357913.5</v>
      </c>
      <c r="R13" t="str">
        <f>"〇か月分"&amp;" Column" &amp; COLUMN()</f>
        <v>〇か月分 Column18</v>
      </c>
      <c r="S13" s="24">
        <v>1</v>
      </c>
      <c r="T13" s="24">
        <v>858904</v>
      </c>
      <c r="U13" s="24">
        <f t="shared" si="3"/>
        <v>901849.20000000007</v>
      </c>
      <c r="V13" s="43" t="s">
        <v>31</v>
      </c>
    </row>
    <row r="14" spans="1:22" x14ac:dyDescent="0.15">
      <c r="A14" s="26">
        <v>12</v>
      </c>
      <c r="C14" t="s">
        <v>46</v>
      </c>
      <c r="D14" s="1">
        <v>43780</v>
      </c>
      <c r="E14" s="1">
        <f t="shared" si="4"/>
        <v>43790</v>
      </c>
      <c r="F14" t="str">
        <f>"〇月分"&amp;" Column" &amp; COLUMN()</f>
        <v>〇月分 Column6</v>
      </c>
      <c r="G14" s="24">
        <v>6</v>
      </c>
      <c r="H14" s="24">
        <v>751830</v>
      </c>
      <c r="I14" s="24">
        <f t="shared" si="0"/>
        <v>4736529</v>
      </c>
      <c r="J14" t="str">
        <f>"〇月分"&amp;" Column" &amp; COLUMN()</f>
        <v>〇月分 Column10</v>
      </c>
      <c r="K14" s="24">
        <v>3</v>
      </c>
      <c r="L14" s="24">
        <v>893306</v>
      </c>
      <c r="M14" s="24">
        <f t="shared" si="1"/>
        <v>2813913.9</v>
      </c>
      <c r="N14" t="str">
        <f>"〇月分"&amp;" Column" &amp; COLUMN()</f>
        <v>〇月分 Column14</v>
      </c>
      <c r="O14" s="24">
        <v>3</v>
      </c>
      <c r="P14" s="24">
        <v>463038</v>
      </c>
      <c r="Q14" s="24">
        <f t="shared" si="2"/>
        <v>1458569.7</v>
      </c>
      <c r="R14" t="str">
        <f>"〇月分"&amp;" Column" &amp; COLUMN()</f>
        <v>〇月分 Column18</v>
      </c>
      <c r="S14" s="24">
        <v>3</v>
      </c>
      <c r="T14" s="24">
        <v>616841</v>
      </c>
      <c r="U14" s="24">
        <f t="shared" si="3"/>
        <v>1943049.1500000001</v>
      </c>
      <c r="V14" s="43" t="s">
        <v>32</v>
      </c>
    </row>
    <row r="15" spans="1:22" x14ac:dyDescent="0.15">
      <c r="A15" s="26">
        <v>13</v>
      </c>
      <c r="B15">
        <v>1</v>
      </c>
      <c r="C15" t="s">
        <v>47</v>
      </c>
      <c r="D15" s="1">
        <v>43781</v>
      </c>
      <c r="E15" s="1">
        <f t="shared" si="4"/>
        <v>43791</v>
      </c>
      <c r="F15" t="str">
        <f>"○○分"&amp;" Column" &amp; COLUMN()</f>
        <v>○○分 Column6</v>
      </c>
      <c r="G15" s="24">
        <v>2</v>
      </c>
      <c r="H15" s="24">
        <v>240886</v>
      </c>
      <c r="I15" s="24">
        <f t="shared" si="0"/>
        <v>505860.60000000003</v>
      </c>
      <c r="J15" t="str">
        <f>"○○分"&amp;" Column" &amp; COLUMN()</f>
        <v>○○分 Column10</v>
      </c>
      <c r="K15" s="24">
        <v>1</v>
      </c>
      <c r="L15" s="24">
        <v>242684</v>
      </c>
      <c r="M15" s="24">
        <f t="shared" si="1"/>
        <v>254818.2</v>
      </c>
      <c r="N15" t="str">
        <f>"○○分"&amp;" Column" &amp; COLUMN()</f>
        <v>○○分 Column14</v>
      </c>
      <c r="O15" s="24">
        <v>1</v>
      </c>
      <c r="P15" s="24">
        <v>996614</v>
      </c>
      <c r="Q15" s="24">
        <f t="shared" si="2"/>
        <v>1046444.7000000001</v>
      </c>
      <c r="R15" t="str">
        <f>"○○分"&amp;" Column" &amp; COLUMN()</f>
        <v>○○分 Column18</v>
      </c>
      <c r="S15" s="24">
        <v>1</v>
      </c>
      <c r="T15" s="24">
        <v>148037</v>
      </c>
      <c r="U15" s="24">
        <f t="shared" si="3"/>
        <v>155438.85</v>
      </c>
      <c r="V15" s="43" t="s">
        <v>30</v>
      </c>
    </row>
    <row r="16" spans="1:22" x14ac:dyDescent="0.15">
      <c r="A16" s="26">
        <v>14</v>
      </c>
      <c r="C16" t="s">
        <v>48</v>
      </c>
      <c r="D16" s="1">
        <v>43782</v>
      </c>
      <c r="E16" s="1">
        <f t="shared" si="4"/>
        <v>43792</v>
      </c>
      <c r="F16" t="str">
        <f>"〇か月分"&amp;" Column" &amp; COLUMN()</f>
        <v>〇か月分 Column6</v>
      </c>
      <c r="G16" s="24">
        <v>1</v>
      </c>
      <c r="H16" s="24">
        <v>498703</v>
      </c>
      <c r="I16" s="24">
        <f t="shared" si="0"/>
        <v>523638.15</v>
      </c>
      <c r="J16" t="str">
        <f>"〇か月分"&amp;" Column" &amp; COLUMN()</f>
        <v>〇か月分 Column10</v>
      </c>
      <c r="K16" s="24">
        <v>1</v>
      </c>
      <c r="L16" s="24">
        <v>721242</v>
      </c>
      <c r="M16" s="24">
        <f t="shared" si="1"/>
        <v>757304.1</v>
      </c>
      <c r="N16" t="str">
        <f>"〇か月分"&amp;" Column" &amp; COLUMN()</f>
        <v>〇か月分 Column14</v>
      </c>
      <c r="O16" s="24">
        <v>1</v>
      </c>
      <c r="P16" s="24">
        <v>376105</v>
      </c>
      <c r="Q16" s="24">
        <f t="shared" si="2"/>
        <v>394910.25</v>
      </c>
      <c r="R16" t="str">
        <f>"〇か月分"&amp;" Column" &amp; COLUMN()</f>
        <v>〇か月分 Column18</v>
      </c>
      <c r="S16" s="24">
        <v>1</v>
      </c>
      <c r="T16" s="24">
        <v>394847</v>
      </c>
      <c r="U16" s="24">
        <f t="shared" si="3"/>
        <v>414589.35000000003</v>
      </c>
      <c r="V16" s="43" t="s">
        <v>31</v>
      </c>
    </row>
    <row r="17" spans="1:22" x14ac:dyDescent="0.15">
      <c r="A17" s="26">
        <v>15</v>
      </c>
      <c r="B17">
        <v>1</v>
      </c>
      <c r="C17" t="s">
        <v>49</v>
      </c>
      <c r="D17" s="1">
        <v>43783</v>
      </c>
      <c r="E17" s="1">
        <f t="shared" si="4"/>
        <v>43793</v>
      </c>
      <c r="F17" t="str">
        <f>"〇月分"&amp;" Column" &amp; COLUMN()</f>
        <v>〇月分 Column6</v>
      </c>
      <c r="G17" s="24">
        <v>1</v>
      </c>
      <c r="H17" s="24">
        <v>156809</v>
      </c>
      <c r="I17" s="24">
        <f t="shared" si="0"/>
        <v>164649.45000000001</v>
      </c>
      <c r="J17" t="str">
        <f>"〇月分"&amp;" Column" &amp; COLUMN()</f>
        <v>〇月分 Column10</v>
      </c>
      <c r="K17" s="24">
        <v>1</v>
      </c>
      <c r="L17" s="24">
        <v>306955</v>
      </c>
      <c r="M17" s="24">
        <f t="shared" si="1"/>
        <v>322302.75</v>
      </c>
      <c r="N17" t="str">
        <f>"〇月分"&amp;" Column" &amp; COLUMN()</f>
        <v>〇月分 Column14</v>
      </c>
      <c r="O17" s="24">
        <v>1</v>
      </c>
      <c r="P17" s="24">
        <v>720278</v>
      </c>
      <c r="Q17" s="24">
        <f t="shared" si="2"/>
        <v>756291.9</v>
      </c>
      <c r="R17" t="str">
        <f>"〇月分"&amp;" Column" &amp; COLUMN()</f>
        <v>〇月分 Column18</v>
      </c>
      <c r="S17" s="24">
        <v>1</v>
      </c>
      <c r="T17" s="24">
        <v>256491</v>
      </c>
      <c r="U17" s="24">
        <f t="shared" si="3"/>
        <v>269315.55</v>
      </c>
      <c r="V17" s="43" t="s">
        <v>32</v>
      </c>
    </row>
    <row r="18" spans="1:22" x14ac:dyDescent="0.15">
      <c r="D18" s="1"/>
      <c r="E18" s="1"/>
      <c r="F18" s="25"/>
      <c r="G18" s="24"/>
      <c r="H18" s="24"/>
      <c r="I18" s="24" t="str">
        <f t="shared" ref="I18:I74" si="5">IF(H18="","",H18*G18*1.05)</f>
        <v/>
      </c>
      <c r="K18" s="24"/>
      <c r="L18" s="24"/>
      <c r="M18" s="24" t="str">
        <f t="shared" ref="M18:M74" si="6">IF(L18="","",L18*K18*1.05)</f>
        <v/>
      </c>
      <c r="N18" s="25"/>
      <c r="O18" s="24"/>
      <c r="P18" s="24"/>
      <c r="Q18" s="24" t="str">
        <f t="shared" ref="Q18:Q74" si="7">IF(P18="","",P18*O18*1.05)</f>
        <v/>
      </c>
      <c r="S18" s="24"/>
      <c r="T18" s="24"/>
      <c r="U18" s="24" t="str">
        <f t="shared" ref="U18:U74" si="8">IF(T18="","",T18*S18*1.05)</f>
        <v/>
      </c>
      <c r="V18" s="24"/>
    </row>
    <row r="19" spans="1:22" x14ac:dyDescent="0.15">
      <c r="D19" s="1"/>
      <c r="E19" s="1"/>
      <c r="F19" s="25"/>
      <c r="G19" s="24"/>
      <c r="H19" s="24"/>
      <c r="I19" s="24" t="str">
        <f t="shared" si="5"/>
        <v/>
      </c>
      <c r="K19" s="24"/>
      <c r="L19" s="24"/>
      <c r="M19" s="24" t="str">
        <f t="shared" si="6"/>
        <v/>
      </c>
      <c r="N19" s="25"/>
      <c r="O19" s="24"/>
      <c r="P19" s="24"/>
      <c r="Q19" s="24" t="str">
        <f t="shared" si="7"/>
        <v/>
      </c>
      <c r="S19" s="24"/>
      <c r="T19" s="24"/>
      <c r="U19" s="24" t="str">
        <f t="shared" si="8"/>
        <v/>
      </c>
      <c r="V19" s="24"/>
    </row>
    <row r="20" spans="1:22" x14ac:dyDescent="0.15">
      <c r="C20" s="39"/>
      <c r="D20" s="40"/>
      <c r="E20" s="1"/>
      <c r="F20" s="25"/>
      <c r="G20" s="24"/>
      <c r="H20" s="24"/>
      <c r="I20" s="24" t="str">
        <f t="shared" si="5"/>
        <v/>
      </c>
      <c r="K20" s="24"/>
      <c r="L20" s="24"/>
      <c r="M20" s="24" t="str">
        <f t="shared" si="6"/>
        <v/>
      </c>
      <c r="N20" s="25"/>
      <c r="O20" s="24"/>
      <c r="P20" s="24"/>
      <c r="Q20" s="24" t="str">
        <f t="shared" si="7"/>
        <v/>
      </c>
      <c r="S20" s="24"/>
      <c r="T20" s="24"/>
      <c r="U20" s="24" t="str">
        <f t="shared" si="8"/>
        <v/>
      </c>
      <c r="V20" s="24"/>
    </row>
    <row r="21" spans="1:22" x14ac:dyDescent="0.15">
      <c r="C21" s="39"/>
      <c r="D21" s="40"/>
      <c r="E21" s="1"/>
      <c r="F21" s="26"/>
      <c r="G21" s="41"/>
      <c r="H21" s="41"/>
      <c r="I21" s="41" t="str">
        <f t="shared" si="5"/>
        <v/>
      </c>
      <c r="K21" s="24"/>
      <c r="L21" s="24"/>
      <c r="M21" s="24" t="str">
        <f t="shared" si="6"/>
        <v/>
      </c>
      <c r="N21" s="25"/>
      <c r="O21" s="24"/>
      <c r="P21" s="24"/>
      <c r="Q21" s="24" t="str">
        <f t="shared" si="7"/>
        <v/>
      </c>
      <c r="S21" s="24"/>
      <c r="T21" s="24"/>
      <c r="U21" s="24" t="str">
        <f t="shared" si="8"/>
        <v/>
      </c>
      <c r="V21" s="24"/>
    </row>
    <row r="22" spans="1:22" x14ac:dyDescent="0.15">
      <c r="C22" s="39"/>
      <c r="D22" s="40"/>
      <c r="E22" s="1"/>
      <c r="F22" s="26"/>
      <c r="G22" s="41"/>
      <c r="H22" s="41"/>
      <c r="I22" s="41" t="str">
        <f t="shared" si="5"/>
        <v/>
      </c>
      <c r="K22" s="24"/>
      <c r="L22" s="24"/>
      <c r="M22" s="24" t="str">
        <f t="shared" si="6"/>
        <v/>
      </c>
      <c r="N22" s="25"/>
      <c r="O22" s="24"/>
      <c r="P22" s="24"/>
      <c r="Q22" s="24" t="str">
        <f t="shared" si="7"/>
        <v/>
      </c>
      <c r="S22" s="24"/>
      <c r="T22" s="24"/>
      <c r="U22" s="24" t="str">
        <f t="shared" si="8"/>
        <v/>
      </c>
      <c r="V22" s="24"/>
    </row>
    <row r="23" spans="1:22" x14ac:dyDescent="0.15">
      <c r="C23" s="39"/>
      <c r="D23" s="40"/>
      <c r="E23" s="1"/>
      <c r="F23" s="26"/>
      <c r="G23" s="41"/>
      <c r="H23" s="41"/>
      <c r="I23" s="41" t="str">
        <f t="shared" si="5"/>
        <v/>
      </c>
      <c r="K23" s="24"/>
      <c r="L23" s="24"/>
      <c r="M23" s="24" t="str">
        <f t="shared" si="6"/>
        <v/>
      </c>
      <c r="N23" s="25"/>
      <c r="O23" s="24"/>
      <c r="P23" s="24"/>
      <c r="Q23" s="24" t="str">
        <f t="shared" si="7"/>
        <v/>
      </c>
      <c r="S23" s="24"/>
      <c r="T23" s="24"/>
      <c r="U23" s="24" t="str">
        <f t="shared" si="8"/>
        <v/>
      </c>
      <c r="V23" s="24"/>
    </row>
    <row r="24" spans="1:22" x14ac:dyDescent="0.15">
      <c r="C24" s="39"/>
      <c r="D24" s="40"/>
      <c r="E24" s="1"/>
      <c r="F24" s="26"/>
      <c r="G24" s="41"/>
      <c r="H24" s="41"/>
      <c r="I24" s="41" t="str">
        <f t="shared" si="5"/>
        <v/>
      </c>
      <c r="K24" s="24"/>
      <c r="L24" s="24"/>
      <c r="M24" s="24" t="str">
        <f t="shared" si="6"/>
        <v/>
      </c>
      <c r="N24" s="25"/>
      <c r="O24" s="24"/>
      <c r="P24" s="24"/>
      <c r="Q24" s="24" t="str">
        <f t="shared" si="7"/>
        <v/>
      </c>
      <c r="S24" s="24"/>
      <c r="T24" s="24"/>
      <c r="U24" s="24" t="str">
        <f t="shared" si="8"/>
        <v/>
      </c>
      <c r="V24" s="24"/>
    </row>
    <row r="25" spans="1:22" x14ac:dyDescent="0.15">
      <c r="C25" s="39"/>
      <c r="D25" s="40"/>
      <c r="E25" s="1"/>
      <c r="F25" s="26"/>
      <c r="G25" s="41"/>
      <c r="H25" s="41"/>
      <c r="I25" s="41" t="str">
        <f t="shared" si="5"/>
        <v/>
      </c>
      <c r="K25" s="24"/>
      <c r="L25" s="24"/>
      <c r="M25" s="24" t="str">
        <f t="shared" si="6"/>
        <v/>
      </c>
      <c r="N25" s="25"/>
      <c r="O25" s="24"/>
      <c r="P25" s="24"/>
      <c r="Q25" s="24" t="str">
        <f t="shared" si="7"/>
        <v/>
      </c>
      <c r="S25" s="24"/>
      <c r="T25" s="24"/>
      <c r="U25" s="24" t="str">
        <f t="shared" si="8"/>
        <v/>
      </c>
      <c r="V25" s="24"/>
    </row>
    <row r="26" spans="1:22" x14ac:dyDescent="0.15">
      <c r="D26" s="1"/>
      <c r="E26" s="1"/>
      <c r="F26" s="25"/>
      <c r="G26" s="24"/>
      <c r="H26" s="24"/>
      <c r="I26" s="24" t="str">
        <f t="shared" si="5"/>
        <v/>
      </c>
      <c r="K26" s="24"/>
      <c r="L26" s="24"/>
      <c r="M26" s="24" t="str">
        <f t="shared" si="6"/>
        <v/>
      </c>
      <c r="N26" s="25"/>
      <c r="O26" s="24"/>
      <c r="P26" s="24"/>
      <c r="Q26" s="24" t="str">
        <f t="shared" si="7"/>
        <v/>
      </c>
      <c r="S26" s="24"/>
      <c r="T26" s="24"/>
      <c r="U26" s="24" t="str">
        <f t="shared" si="8"/>
        <v/>
      </c>
      <c r="V26" s="24"/>
    </row>
    <row r="27" spans="1:22" x14ac:dyDescent="0.15">
      <c r="D27" s="1"/>
      <c r="E27" s="1"/>
      <c r="F27" s="25"/>
      <c r="G27" s="24"/>
      <c r="H27" s="24"/>
      <c r="I27" s="24" t="str">
        <f t="shared" si="5"/>
        <v/>
      </c>
      <c r="K27" s="24"/>
      <c r="L27" s="24"/>
      <c r="M27" s="24" t="str">
        <f t="shared" si="6"/>
        <v/>
      </c>
      <c r="N27" s="25"/>
      <c r="O27" s="24"/>
      <c r="P27" s="24"/>
      <c r="Q27" s="24" t="str">
        <f t="shared" si="7"/>
        <v/>
      </c>
      <c r="S27" s="24"/>
      <c r="T27" s="24"/>
      <c r="U27" s="24" t="str">
        <f t="shared" si="8"/>
        <v/>
      </c>
      <c r="V27" s="24"/>
    </row>
    <row r="28" spans="1:22" x14ac:dyDescent="0.15">
      <c r="D28" s="1"/>
      <c r="E28" s="1"/>
      <c r="F28" s="25"/>
      <c r="G28" s="24"/>
      <c r="H28" s="24"/>
      <c r="I28" s="24" t="str">
        <f t="shared" si="5"/>
        <v/>
      </c>
      <c r="K28" s="24"/>
      <c r="L28" s="24"/>
      <c r="M28" s="24" t="str">
        <f t="shared" si="6"/>
        <v/>
      </c>
      <c r="N28" s="25"/>
      <c r="O28" s="24"/>
      <c r="P28" s="24"/>
      <c r="Q28" s="24" t="str">
        <f t="shared" si="7"/>
        <v/>
      </c>
      <c r="S28" s="24"/>
      <c r="T28" s="24"/>
      <c r="U28" s="24" t="str">
        <f t="shared" si="8"/>
        <v/>
      </c>
      <c r="V28" s="24"/>
    </row>
    <row r="29" spans="1:22" x14ac:dyDescent="0.15">
      <c r="D29" s="1"/>
      <c r="E29" s="1"/>
      <c r="F29" s="25"/>
      <c r="G29" s="24"/>
      <c r="H29" s="24"/>
      <c r="I29" s="24" t="str">
        <f t="shared" si="5"/>
        <v/>
      </c>
      <c r="K29" s="24"/>
      <c r="L29" s="24"/>
      <c r="M29" s="24" t="str">
        <f t="shared" si="6"/>
        <v/>
      </c>
      <c r="N29" s="25"/>
      <c r="O29" s="24"/>
      <c r="P29" s="24"/>
      <c r="Q29" s="24" t="str">
        <f t="shared" si="7"/>
        <v/>
      </c>
      <c r="S29" s="24"/>
      <c r="T29" s="24"/>
      <c r="U29" s="24" t="str">
        <f t="shared" si="8"/>
        <v/>
      </c>
      <c r="V29" s="24"/>
    </row>
    <row r="30" spans="1:22" x14ac:dyDescent="0.15">
      <c r="D30" s="1"/>
      <c r="E30" s="1"/>
      <c r="F30" s="25"/>
      <c r="G30" s="24"/>
      <c r="H30" s="24"/>
      <c r="I30" s="24" t="str">
        <f t="shared" si="5"/>
        <v/>
      </c>
      <c r="K30" s="24"/>
      <c r="L30" s="24"/>
      <c r="M30" s="24" t="str">
        <f t="shared" si="6"/>
        <v/>
      </c>
      <c r="N30" s="25"/>
      <c r="O30" s="24"/>
      <c r="P30" s="24"/>
      <c r="Q30" s="24" t="str">
        <f t="shared" si="7"/>
        <v/>
      </c>
      <c r="S30" s="24"/>
      <c r="T30" s="24"/>
      <c r="U30" s="24" t="str">
        <f t="shared" si="8"/>
        <v/>
      </c>
      <c r="V30" s="24"/>
    </row>
    <row r="31" spans="1:22" x14ac:dyDescent="0.15">
      <c r="D31" s="1"/>
      <c r="E31" s="1"/>
      <c r="F31" s="25"/>
      <c r="G31" s="24"/>
      <c r="H31" s="24"/>
      <c r="I31" s="24" t="str">
        <f t="shared" si="5"/>
        <v/>
      </c>
      <c r="K31" s="24"/>
      <c r="L31" s="24"/>
      <c r="M31" s="24" t="str">
        <f t="shared" si="6"/>
        <v/>
      </c>
      <c r="N31" s="25"/>
      <c r="O31" s="24"/>
      <c r="P31" s="24"/>
      <c r="Q31" s="24" t="str">
        <f t="shared" si="7"/>
        <v/>
      </c>
      <c r="S31" s="24"/>
      <c r="T31" s="24"/>
      <c r="U31" s="24" t="str">
        <f t="shared" si="8"/>
        <v/>
      </c>
      <c r="V31" s="24"/>
    </row>
    <row r="32" spans="1:22" x14ac:dyDescent="0.15">
      <c r="D32" s="1"/>
      <c r="E32" s="1"/>
      <c r="F32" s="25"/>
      <c r="G32" s="24"/>
      <c r="H32" s="24"/>
      <c r="I32" s="24" t="str">
        <f t="shared" si="5"/>
        <v/>
      </c>
      <c r="K32" s="24"/>
      <c r="L32" s="24"/>
      <c r="M32" s="24" t="str">
        <f t="shared" si="6"/>
        <v/>
      </c>
      <c r="N32" s="25"/>
      <c r="O32" s="24"/>
      <c r="P32" s="24"/>
      <c r="Q32" s="24" t="str">
        <f t="shared" si="7"/>
        <v/>
      </c>
      <c r="S32" s="24"/>
      <c r="T32" s="24"/>
      <c r="U32" s="24" t="str">
        <f t="shared" si="8"/>
        <v/>
      </c>
      <c r="V32" s="24"/>
    </row>
    <row r="33" spans="4:22" x14ac:dyDescent="0.15">
      <c r="D33" s="1"/>
      <c r="E33" s="1"/>
      <c r="F33" s="25"/>
      <c r="G33" s="24"/>
      <c r="H33" s="24"/>
      <c r="I33" s="24" t="str">
        <f t="shared" si="5"/>
        <v/>
      </c>
      <c r="K33" s="24"/>
      <c r="L33" s="24"/>
      <c r="M33" s="24" t="str">
        <f t="shared" si="6"/>
        <v/>
      </c>
      <c r="N33" s="25"/>
      <c r="O33" s="24"/>
      <c r="P33" s="24"/>
      <c r="Q33" s="24" t="str">
        <f t="shared" si="7"/>
        <v/>
      </c>
      <c r="S33" s="24"/>
      <c r="T33" s="24"/>
      <c r="U33" s="24" t="str">
        <f t="shared" si="8"/>
        <v/>
      </c>
      <c r="V33" s="24"/>
    </row>
    <row r="34" spans="4:22" x14ac:dyDescent="0.15">
      <c r="D34" s="1"/>
      <c r="E34" s="1"/>
      <c r="F34" s="25"/>
      <c r="G34" s="24"/>
      <c r="H34" s="24"/>
      <c r="I34" s="24" t="str">
        <f t="shared" si="5"/>
        <v/>
      </c>
      <c r="K34" s="24"/>
      <c r="L34" s="24"/>
      <c r="M34" s="24" t="str">
        <f t="shared" si="6"/>
        <v/>
      </c>
      <c r="N34" s="25"/>
      <c r="O34" s="24"/>
      <c r="P34" s="24"/>
      <c r="Q34" s="24" t="str">
        <f t="shared" si="7"/>
        <v/>
      </c>
      <c r="S34" s="24"/>
      <c r="T34" s="24"/>
      <c r="U34" s="24" t="str">
        <f t="shared" si="8"/>
        <v/>
      </c>
      <c r="V34" s="24"/>
    </row>
    <row r="35" spans="4:22" x14ac:dyDescent="0.15">
      <c r="D35" s="1"/>
      <c r="E35" s="1"/>
      <c r="F35" s="25"/>
      <c r="G35" s="24"/>
      <c r="H35" s="24"/>
      <c r="I35" s="24" t="str">
        <f t="shared" si="5"/>
        <v/>
      </c>
      <c r="K35" s="24"/>
      <c r="L35" s="24"/>
      <c r="M35" s="24" t="str">
        <f t="shared" si="6"/>
        <v/>
      </c>
      <c r="N35" s="25"/>
      <c r="O35" s="24"/>
      <c r="P35" s="24"/>
      <c r="Q35" s="24" t="str">
        <f t="shared" si="7"/>
        <v/>
      </c>
      <c r="S35" s="24"/>
      <c r="T35" s="24"/>
      <c r="U35" s="24" t="str">
        <f t="shared" si="8"/>
        <v/>
      </c>
      <c r="V35" s="24"/>
    </row>
    <row r="36" spans="4:22" x14ac:dyDescent="0.15">
      <c r="D36" s="1"/>
      <c r="E36" s="1"/>
      <c r="F36" s="25"/>
      <c r="G36" s="24"/>
      <c r="H36" s="24"/>
      <c r="I36" s="24" t="str">
        <f t="shared" si="5"/>
        <v/>
      </c>
      <c r="K36" s="24"/>
      <c r="L36" s="24"/>
      <c r="M36" s="24" t="str">
        <f t="shared" si="6"/>
        <v/>
      </c>
      <c r="N36" s="25"/>
      <c r="O36" s="24"/>
      <c r="P36" s="24"/>
      <c r="Q36" s="24" t="str">
        <f t="shared" si="7"/>
        <v/>
      </c>
      <c r="S36" s="24"/>
      <c r="T36" s="24"/>
      <c r="U36" s="24" t="str">
        <f t="shared" si="8"/>
        <v/>
      </c>
      <c r="V36" s="24"/>
    </row>
    <row r="37" spans="4:22" x14ac:dyDescent="0.15">
      <c r="D37" s="1"/>
      <c r="E37" s="1"/>
      <c r="F37" s="25"/>
      <c r="G37" s="24"/>
      <c r="H37" s="24"/>
      <c r="I37" s="24" t="str">
        <f t="shared" si="5"/>
        <v/>
      </c>
      <c r="K37" s="24"/>
      <c r="L37" s="24"/>
      <c r="M37" s="24" t="str">
        <f t="shared" si="6"/>
        <v/>
      </c>
      <c r="N37" s="25"/>
      <c r="O37" s="24"/>
      <c r="P37" s="24"/>
      <c r="Q37" s="24" t="str">
        <f t="shared" si="7"/>
        <v/>
      </c>
      <c r="S37" s="24"/>
      <c r="T37" s="24"/>
      <c r="U37" s="24" t="str">
        <f t="shared" si="8"/>
        <v/>
      </c>
      <c r="V37" s="24"/>
    </row>
    <row r="38" spans="4:22" x14ac:dyDescent="0.15">
      <c r="D38" s="1"/>
      <c r="E38" s="1"/>
      <c r="F38" s="25"/>
      <c r="G38" s="24"/>
      <c r="H38" s="24"/>
      <c r="I38" s="24" t="str">
        <f t="shared" si="5"/>
        <v/>
      </c>
      <c r="K38" s="24"/>
      <c r="L38" s="24"/>
      <c r="M38" s="24" t="str">
        <f t="shared" si="6"/>
        <v/>
      </c>
      <c r="N38" s="25"/>
      <c r="O38" s="24"/>
      <c r="P38" s="24"/>
      <c r="Q38" s="24" t="str">
        <f t="shared" si="7"/>
        <v/>
      </c>
      <c r="S38" s="24"/>
      <c r="T38" s="24"/>
      <c r="U38" s="24" t="str">
        <f t="shared" si="8"/>
        <v/>
      </c>
      <c r="V38" s="24"/>
    </row>
    <row r="39" spans="4:22" x14ac:dyDescent="0.15">
      <c r="D39" s="1"/>
      <c r="E39" s="1"/>
      <c r="F39" s="25"/>
      <c r="G39" s="24"/>
      <c r="H39" s="24"/>
      <c r="I39" s="24" t="str">
        <f t="shared" si="5"/>
        <v/>
      </c>
      <c r="K39" s="24"/>
      <c r="L39" s="24"/>
      <c r="M39" s="24" t="str">
        <f t="shared" si="6"/>
        <v/>
      </c>
      <c r="N39" s="25"/>
      <c r="O39" s="24"/>
      <c r="P39" s="24"/>
      <c r="Q39" s="24" t="str">
        <f t="shared" si="7"/>
        <v/>
      </c>
      <c r="S39" s="24"/>
      <c r="T39" s="24"/>
      <c r="U39" s="24" t="str">
        <f t="shared" si="8"/>
        <v/>
      </c>
      <c r="V39" s="24"/>
    </row>
    <row r="40" spans="4:22" x14ac:dyDescent="0.15">
      <c r="D40" s="1"/>
      <c r="E40" s="1"/>
      <c r="F40" s="25"/>
      <c r="G40" s="24"/>
      <c r="H40" s="24"/>
      <c r="I40" s="24" t="str">
        <f t="shared" si="5"/>
        <v/>
      </c>
      <c r="K40" s="24"/>
      <c r="L40" s="24"/>
      <c r="M40" s="24" t="str">
        <f t="shared" si="6"/>
        <v/>
      </c>
      <c r="N40" s="25"/>
      <c r="O40" s="24"/>
      <c r="P40" s="24"/>
      <c r="Q40" s="24" t="str">
        <f t="shared" si="7"/>
        <v/>
      </c>
      <c r="S40" s="24"/>
      <c r="T40" s="24"/>
      <c r="U40" s="24" t="str">
        <f t="shared" si="8"/>
        <v/>
      </c>
      <c r="V40" s="24"/>
    </row>
    <row r="41" spans="4:22" x14ac:dyDescent="0.15">
      <c r="D41" s="1"/>
      <c r="E41" s="1"/>
      <c r="F41" s="25"/>
      <c r="G41" s="24"/>
      <c r="H41" s="24"/>
      <c r="I41" s="24" t="str">
        <f t="shared" si="5"/>
        <v/>
      </c>
      <c r="K41" s="24"/>
      <c r="L41" s="24"/>
      <c r="M41" s="24" t="str">
        <f t="shared" si="6"/>
        <v/>
      </c>
      <c r="N41" s="25"/>
      <c r="O41" s="24"/>
      <c r="P41" s="24"/>
      <c r="Q41" s="24" t="str">
        <f t="shared" si="7"/>
        <v/>
      </c>
      <c r="S41" s="24"/>
      <c r="T41" s="24"/>
      <c r="U41" s="24" t="str">
        <f t="shared" si="8"/>
        <v/>
      </c>
      <c r="V41" s="24"/>
    </row>
    <row r="42" spans="4:22" x14ac:dyDescent="0.15">
      <c r="D42" s="1"/>
      <c r="E42" s="1"/>
      <c r="F42" s="25"/>
      <c r="G42" s="24"/>
      <c r="H42" s="24"/>
      <c r="I42" s="24" t="str">
        <f t="shared" si="5"/>
        <v/>
      </c>
      <c r="K42" s="24"/>
      <c r="L42" s="24"/>
      <c r="M42" s="24" t="str">
        <f t="shared" si="6"/>
        <v/>
      </c>
      <c r="N42" s="25"/>
      <c r="O42" s="24"/>
      <c r="P42" s="24"/>
      <c r="Q42" s="24" t="str">
        <f t="shared" si="7"/>
        <v/>
      </c>
      <c r="S42" s="24"/>
      <c r="T42" s="24"/>
      <c r="U42" s="24" t="str">
        <f t="shared" si="8"/>
        <v/>
      </c>
      <c r="V42" s="24"/>
    </row>
    <row r="43" spans="4:22" x14ac:dyDescent="0.15">
      <c r="D43" s="1"/>
      <c r="E43" s="1"/>
      <c r="F43" s="25"/>
      <c r="G43" s="24"/>
      <c r="H43" s="24"/>
      <c r="I43" s="24" t="str">
        <f t="shared" si="5"/>
        <v/>
      </c>
      <c r="K43" s="24"/>
      <c r="L43" s="24"/>
      <c r="M43" s="24" t="str">
        <f t="shared" si="6"/>
        <v/>
      </c>
      <c r="N43" s="25"/>
      <c r="O43" s="24"/>
      <c r="P43" s="24"/>
      <c r="Q43" s="24" t="str">
        <f t="shared" si="7"/>
        <v/>
      </c>
      <c r="S43" s="24"/>
      <c r="T43" s="24"/>
      <c r="U43" s="24" t="str">
        <f t="shared" si="8"/>
        <v/>
      </c>
      <c r="V43" s="24"/>
    </row>
    <row r="44" spans="4:22" x14ac:dyDescent="0.15">
      <c r="D44" s="1"/>
      <c r="E44" s="1"/>
      <c r="F44" s="25"/>
      <c r="G44" s="24"/>
      <c r="H44" s="24"/>
      <c r="I44" s="24" t="str">
        <f t="shared" si="5"/>
        <v/>
      </c>
      <c r="K44" s="24"/>
      <c r="L44" s="24"/>
      <c r="M44" s="24" t="str">
        <f t="shared" si="6"/>
        <v/>
      </c>
      <c r="N44" s="25"/>
      <c r="O44" s="24"/>
      <c r="P44" s="24"/>
      <c r="Q44" s="24" t="str">
        <f t="shared" si="7"/>
        <v/>
      </c>
      <c r="S44" s="24"/>
      <c r="T44" s="24"/>
      <c r="U44" s="24" t="str">
        <f t="shared" si="8"/>
        <v/>
      </c>
      <c r="V44" s="24"/>
    </row>
    <row r="45" spans="4:22" x14ac:dyDescent="0.15">
      <c r="D45" s="1"/>
      <c r="E45" s="1"/>
      <c r="F45" s="25"/>
      <c r="G45" s="24"/>
      <c r="H45" s="24"/>
      <c r="I45" s="24" t="str">
        <f t="shared" si="5"/>
        <v/>
      </c>
      <c r="K45" s="24"/>
      <c r="L45" s="24"/>
      <c r="M45" s="24" t="str">
        <f t="shared" si="6"/>
        <v/>
      </c>
      <c r="N45" s="25"/>
      <c r="O45" s="24"/>
      <c r="P45" s="24"/>
      <c r="Q45" s="24" t="str">
        <f t="shared" si="7"/>
        <v/>
      </c>
      <c r="S45" s="24"/>
      <c r="T45" s="24"/>
      <c r="U45" s="24" t="str">
        <f t="shared" si="8"/>
        <v/>
      </c>
      <c r="V45" s="24"/>
    </row>
    <row r="46" spans="4:22" x14ac:dyDescent="0.15">
      <c r="D46" s="1"/>
      <c r="E46" s="1"/>
      <c r="F46" s="25"/>
      <c r="G46" s="24"/>
      <c r="H46" s="24"/>
      <c r="I46" s="24" t="str">
        <f t="shared" si="5"/>
        <v/>
      </c>
      <c r="K46" s="24"/>
      <c r="L46" s="24"/>
      <c r="M46" s="24" t="str">
        <f t="shared" si="6"/>
        <v/>
      </c>
      <c r="N46" s="25"/>
      <c r="O46" s="24"/>
      <c r="P46" s="24"/>
      <c r="Q46" s="24" t="str">
        <f t="shared" si="7"/>
        <v/>
      </c>
      <c r="S46" s="24"/>
      <c r="T46" s="24"/>
      <c r="U46" s="24" t="str">
        <f t="shared" si="8"/>
        <v/>
      </c>
      <c r="V46" s="24"/>
    </row>
    <row r="47" spans="4:22" x14ac:dyDescent="0.15">
      <c r="D47" s="1"/>
      <c r="E47" s="1"/>
      <c r="F47" s="25"/>
      <c r="G47" s="24"/>
      <c r="H47" s="24"/>
      <c r="I47" s="24" t="str">
        <f t="shared" si="5"/>
        <v/>
      </c>
      <c r="K47" s="24"/>
      <c r="L47" s="24"/>
      <c r="M47" s="24" t="str">
        <f t="shared" si="6"/>
        <v/>
      </c>
      <c r="N47" s="25"/>
      <c r="O47" s="24"/>
      <c r="P47" s="24"/>
      <c r="Q47" s="24" t="str">
        <f t="shared" si="7"/>
        <v/>
      </c>
      <c r="S47" s="24"/>
      <c r="T47" s="24"/>
      <c r="U47" s="24" t="str">
        <f t="shared" si="8"/>
        <v/>
      </c>
      <c r="V47" s="24"/>
    </row>
    <row r="48" spans="4:22" x14ac:dyDescent="0.15">
      <c r="D48" s="1"/>
      <c r="E48" s="1"/>
      <c r="F48" s="25"/>
      <c r="G48" s="24"/>
      <c r="H48" s="24"/>
      <c r="I48" s="24" t="str">
        <f t="shared" si="5"/>
        <v/>
      </c>
      <c r="K48" s="24"/>
      <c r="L48" s="24"/>
      <c r="M48" s="24" t="str">
        <f t="shared" si="6"/>
        <v/>
      </c>
      <c r="N48" s="25"/>
      <c r="O48" s="24"/>
      <c r="P48" s="24"/>
      <c r="Q48" s="24" t="str">
        <f t="shared" si="7"/>
        <v/>
      </c>
      <c r="S48" s="24"/>
      <c r="T48" s="24"/>
      <c r="U48" s="24" t="str">
        <f t="shared" si="8"/>
        <v/>
      </c>
      <c r="V48" s="24"/>
    </row>
    <row r="49" spans="4:22" x14ac:dyDescent="0.15">
      <c r="D49" s="1"/>
      <c r="E49" s="1"/>
      <c r="F49" s="25"/>
      <c r="G49" s="24"/>
      <c r="H49" s="24"/>
      <c r="I49" s="24" t="str">
        <f t="shared" si="5"/>
        <v/>
      </c>
      <c r="K49" s="24"/>
      <c r="L49" s="24"/>
      <c r="M49" s="24" t="str">
        <f t="shared" si="6"/>
        <v/>
      </c>
      <c r="N49" s="25"/>
      <c r="O49" s="24"/>
      <c r="P49" s="24"/>
      <c r="Q49" s="24" t="str">
        <f t="shared" si="7"/>
        <v/>
      </c>
      <c r="S49" s="24"/>
      <c r="T49" s="24"/>
      <c r="U49" s="24" t="str">
        <f t="shared" si="8"/>
        <v/>
      </c>
      <c r="V49" s="24"/>
    </row>
    <row r="50" spans="4:22" x14ac:dyDescent="0.15">
      <c r="D50" s="1"/>
      <c r="E50" s="1"/>
      <c r="F50" s="25"/>
      <c r="G50" s="24"/>
      <c r="H50" s="24"/>
      <c r="I50" s="24" t="str">
        <f t="shared" si="5"/>
        <v/>
      </c>
      <c r="K50" s="24"/>
      <c r="L50" s="24"/>
      <c r="M50" s="24" t="str">
        <f t="shared" si="6"/>
        <v/>
      </c>
      <c r="N50" s="25"/>
      <c r="O50" s="24"/>
      <c r="P50" s="24"/>
      <c r="Q50" s="24" t="str">
        <f t="shared" si="7"/>
        <v/>
      </c>
      <c r="S50" s="24"/>
      <c r="T50" s="24"/>
      <c r="U50" s="24" t="str">
        <f t="shared" si="8"/>
        <v/>
      </c>
      <c r="V50" s="24"/>
    </row>
    <row r="51" spans="4:22" x14ac:dyDescent="0.15">
      <c r="D51" s="1"/>
      <c r="E51" s="1"/>
      <c r="F51" s="25"/>
      <c r="G51" s="24"/>
      <c r="H51" s="24"/>
      <c r="I51" s="24" t="str">
        <f t="shared" si="5"/>
        <v/>
      </c>
      <c r="K51" s="24"/>
      <c r="L51" s="24"/>
      <c r="M51" s="24" t="str">
        <f t="shared" si="6"/>
        <v/>
      </c>
      <c r="N51" s="25"/>
      <c r="O51" s="24"/>
      <c r="P51" s="24"/>
      <c r="Q51" s="24" t="str">
        <f t="shared" si="7"/>
        <v/>
      </c>
      <c r="S51" s="24"/>
      <c r="T51" s="24"/>
      <c r="U51" s="24" t="str">
        <f t="shared" si="8"/>
        <v/>
      </c>
      <c r="V51" s="24"/>
    </row>
    <row r="52" spans="4:22" x14ac:dyDescent="0.15">
      <c r="D52" s="1"/>
      <c r="E52" s="1"/>
      <c r="F52" s="25"/>
      <c r="G52" s="24"/>
      <c r="H52" s="24"/>
      <c r="I52" s="24" t="str">
        <f t="shared" si="5"/>
        <v/>
      </c>
      <c r="K52" s="24"/>
      <c r="L52" s="24"/>
      <c r="M52" s="24" t="str">
        <f t="shared" si="6"/>
        <v/>
      </c>
      <c r="N52" s="25"/>
      <c r="O52" s="24"/>
      <c r="P52" s="24"/>
      <c r="Q52" s="24" t="str">
        <f t="shared" si="7"/>
        <v/>
      </c>
      <c r="S52" s="24"/>
      <c r="T52" s="24"/>
      <c r="U52" s="24" t="str">
        <f t="shared" si="8"/>
        <v/>
      </c>
      <c r="V52" s="24"/>
    </row>
    <row r="53" spans="4:22" x14ac:dyDescent="0.15">
      <c r="D53" s="1"/>
      <c r="E53" s="1"/>
      <c r="F53" s="25"/>
      <c r="G53" s="24"/>
      <c r="H53" s="24"/>
      <c r="I53" s="24" t="str">
        <f t="shared" si="5"/>
        <v/>
      </c>
      <c r="K53" s="24"/>
      <c r="L53" s="24"/>
      <c r="M53" s="24" t="str">
        <f t="shared" si="6"/>
        <v/>
      </c>
      <c r="N53" s="25"/>
      <c r="O53" s="24"/>
      <c r="P53" s="24"/>
      <c r="Q53" s="24" t="str">
        <f t="shared" si="7"/>
        <v/>
      </c>
      <c r="S53" s="24"/>
      <c r="T53" s="24"/>
      <c r="U53" s="24" t="str">
        <f t="shared" si="8"/>
        <v/>
      </c>
      <c r="V53" s="24"/>
    </row>
    <row r="54" spans="4:22" x14ac:dyDescent="0.15">
      <c r="D54" s="1"/>
      <c r="E54" s="1"/>
      <c r="F54" s="25"/>
      <c r="G54" s="24"/>
      <c r="H54" s="24"/>
      <c r="I54" s="24" t="str">
        <f t="shared" si="5"/>
        <v/>
      </c>
      <c r="K54" s="24"/>
      <c r="L54" s="24"/>
      <c r="M54" s="24" t="str">
        <f t="shared" si="6"/>
        <v/>
      </c>
      <c r="N54" s="25"/>
      <c r="O54" s="24"/>
      <c r="P54" s="24"/>
      <c r="Q54" s="24" t="str">
        <f t="shared" si="7"/>
        <v/>
      </c>
      <c r="S54" s="24"/>
      <c r="T54" s="24"/>
      <c r="U54" s="24" t="str">
        <f t="shared" si="8"/>
        <v/>
      </c>
      <c r="V54" s="24"/>
    </row>
    <row r="55" spans="4:22" x14ac:dyDescent="0.15">
      <c r="D55" s="1"/>
      <c r="E55" s="1"/>
      <c r="F55" s="25"/>
      <c r="G55" s="24"/>
      <c r="H55" s="24"/>
      <c r="I55" s="24" t="str">
        <f t="shared" si="5"/>
        <v/>
      </c>
      <c r="K55" s="24"/>
      <c r="L55" s="24"/>
      <c r="M55" s="24" t="str">
        <f t="shared" si="6"/>
        <v/>
      </c>
      <c r="N55" s="25"/>
      <c r="O55" s="24"/>
      <c r="P55" s="24"/>
      <c r="Q55" s="24" t="str">
        <f t="shared" si="7"/>
        <v/>
      </c>
      <c r="S55" s="24"/>
      <c r="T55" s="24"/>
      <c r="U55" s="24" t="str">
        <f t="shared" si="8"/>
        <v/>
      </c>
      <c r="V55" s="24"/>
    </row>
    <row r="56" spans="4:22" x14ac:dyDescent="0.15">
      <c r="D56" s="1"/>
      <c r="E56" s="1"/>
      <c r="F56" s="25"/>
      <c r="G56" s="24"/>
      <c r="H56" s="24"/>
      <c r="I56" s="24" t="str">
        <f t="shared" si="5"/>
        <v/>
      </c>
      <c r="K56" s="24"/>
      <c r="L56" s="24"/>
      <c r="M56" s="24" t="str">
        <f t="shared" si="6"/>
        <v/>
      </c>
      <c r="N56" s="25"/>
      <c r="O56" s="24"/>
      <c r="P56" s="24"/>
      <c r="Q56" s="24" t="str">
        <f t="shared" si="7"/>
        <v/>
      </c>
      <c r="S56" s="24"/>
      <c r="T56" s="24"/>
      <c r="U56" s="24" t="str">
        <f t="shared" si="8"/>
        <v/>
      </c>
      <c r="V56" s="24"/>
    </row>
    <row r="57" spans="4:22" x14ac:dyDescent="0.15">
      <c r="D57" s="1"/>
      <c r="E57" s="1"/>
      <c r="F57" s="25"/>
      <c r="G57" s="24"/>
      <c r="H57" s="24"/>
      <c r="I57" s="24" t="str">
        <f t="shared" si="5"/>
        <v/>
      </c>
      <c r="K57" s="24"/>
      <c r="L57" s="24"/>
      <c r="M57" s="24" t="str">
        <f t="shared" si="6"/>
        <v/>
      </c>
      <c r="N57" s="25"/>
      <c r="O57" s="24"/>
      <c r="P57" s="24"/>
      <c r="Q57" s="24" t="str">
        <f t="shared" si="7"/>
        <v/>
      </c>
      <c r="S57" s="24"/>
      <c r="T57" s="24"/>
      <c r="U57" s="24" t="str">
        <f t="shared" si="8"/>
        <v/>
      </c>
      <c r="V57" s="24"/>
    </row>
    <row r="58" spans="4:22" x14ac:dyDescent="0.15">
      <c r="D58" s="1"/>
      <c r="E58" s="1"/>
      <c r="F58" s="25"/>
      <c r="G58" s="24"/>
      <c r="H58" s="24"/>
      <c r="I58" s="24" t="str">
        <f t="shared" si="5"/>
        <v/>
      </c>
      <c r="K58" s="24"/>
      <c r="L58" s="24"/>
      <c r="M58" s="24" t="str">
        <f t="shared" si="6"/>
        <v/>
      </c>
      <c r="N58" s="25"/>
      <c r="O58" s="24"/>
      <c r="P58" s="24"/>
      <c r="Q58" s="24" t="str">
        <f t="shared" si="7"/>
        <v/>
      </c>
      <c r="S58" s="24"/>
      <c r="T58" s="24"/>
      <c r="U58" s="24" t="str">
        <f t="shared" si="8"/>
        <v/>
      </c>
      <c r="V58" s="24"/>
    </row>
    <row r="59" spans="4:22" x14ac:dyDescent="0.15">
      <c r="D59" s="1"/>
      <c r="E59" s="1"/>
      <c r="F59" s="25"/>
      <c r="G59" s="24"/>
      <c r="H59" s="24"/>
      <c r="I59" s="24" t="str">
        <f t="shared" si="5"/>
        <v/>
      </c>
      <c r="K59" s="24"/>
      <c r="L59" s="24"/>
      <c r="M59" s="24" t="str">
        <f t="shared" si="6"/>
        <v/>
      </c>
      <c r="N59" s="25"/>
      <c r="O59" s="24"/>
      <c r="P59" s="24"/>
      <c r="Q59" s="24" t="str">
        <f t="shared" si="7"/>
        <v/>
      </c>
      <c r="S59" s="24"/>
      <c r="T59" s="24"/>
      <c r="U59" s="24" t="str">
        <f t="shared" si="8"/>
        <v/>
      </c>
      <c r="V59" s="24"/>
    </row>
    <row r="60" spans="4:22" x14ac:dyDescent="0.15">
      <c r="D60" s="1"/>
      <c r="E60" s="1"/>
      <c r="F60" s="25"/>
      <c r="G60" s="24"/>
      <c r="H60" s="24"/>
      <c r="I60" s="24" t="str">
        <f t="shared" si="5"/>
        <v/>
      </c>
      <c r="K60" s="24"/>
      <c r="L60" s="24"/>
      <c r="M60" s="24" t="str">
        <f t="shared" si="6"/>
        <v/>
      </c>
      <c r="N60" s="25"/>
      <c r="O60" s="24"/>
      <c r="P60" s="24"/>
      <c r="Q60" s="24" t="str">
        <f t="shared" si="7"/>
        <v/>
      </c>
      <c r="S60" s="24"/>
      <c r="T60" s="24"/>
      <c r="U60" s="24" t="str">
        <f t="shared" si="8"/>
        <v/>
      </c>
      <c r="V60" s="24"/>
    </row>
    <row r="61" spans="4:22" x14ac:dyDescent="0.15">
      <c r="D61" s="1"/>
      <c r="E61" s="1"/>
      <c r="F61" s="25"/>
      <c r="G61" s="24"/>
      <c r="H61" s="24"/>
      <c r="I61" s="24" t="str">
        <f t="shared" si="5"/>
        <v/>
      </c>
      <c r="K61" s="24"/>
      <c r="L61" s="24"/>
      <c r="M61" s="24" t="str">
        <f t="shared" si="6"/>
        <v/>
      </c>
      <c r="N61" s="25"/>
      <c r="O61" s="24"/>
      <c r="P61" s="24"/>
      <c r="Q61" s="24" t="str">
        <f t="shared" si="7"/>
        <v/>
      </c>
      <c r="S61" s="24"/>
      <c r="T61" s="24"/>
      <c r="U61" s="24" t="str">
        <f t="shared" si="8"/>
        <v/>
      </c>
      <c r="V61" s="24"/>
    </row>
    <row r="62" spans="4:22" x14ac:dyDescent="0.15">
      <c r="D62" s="1"/>
      <c r="E62" s="1"/>
      <c r="F62" s="25"/>
      <c r="G62" s="24"/>
      <c r="H62" s="24"/>
      <c r="I62" s="24" t="str">
        <f t="shared" si="5"/>
        <v/>
      </c>
      <c r="K62" s="24"/>
      <c r="L62" s="24"/>
      <c r="M62" s="24" t="str">
        <f t="shared" si="6"/>
        <v/>
      </c>
      <c r="N62" s="25"/>
      <c r="O62" s="24"/>
      <c r="P62" s="24"/>
      <c r="Q62" s="24" t="str">
        <f t="shared" si="7"/>
        <v/>
      </c>
      <c r="S62" s="24"/>
      <c r="T62" s="24"/>
      <c r="U62" s="24" t="str">
        <f t="shared" si="8"/>
        <v/>
      </c>
      <c r="V62" s="24"/>
    </row>
    <row r="63" spans="4:22" x14ac:dyDescent="0.15">
      <c r="D63" s="1"/>
      <c r="E63" s="1"/>
      <c r="F63" s="25"/>
      <c r="G63" s="24"/>
      <c r="H63" s="24"/>
      <c r="I63" s="24" t="str">
        <f t="shared" si="5"/>
        <v/>
      </c>
      <c r="K63" s="24"/>
      <c r="L63" s="24"/>
      <c r="M63" s="24" t="str">
        <f t="shared" si="6"/>
        <v/>
      </c>
      <c r="N63" s="25"/>
      <c r="O63" s="24"/>
      <c r="P63" s="24"/>
      <c r="Q63" s="24" t="str">
        <f t="shared" si="7"/>
        <v/>
      </c>
      <c r="S63" s="24"/>
      <c r="T63" s="24"/>
      <c r="U63" s="24" t="str">
        <f t="shared" si="8"/>
        <v/>
      </c>
      <c r="V63" s="24"/>
    </row>
    <row r="64" spans="4:22" x14ac:dyDescent="0.15">
      <c r="D64" s="1"/>
      <c r="E64" s="1"/>
      <c r="F64" s="25"/>
      <c r="G64" s="24"/>
      <c r="H64" s="24"/>
      <c r="I64" s="24" t="str">
        <f t="shared" si="5"/>
        <v/>
      </c>
      <c r="K64" s="24"/>
      <c r="L64" s="24"/>
      <c r="M64" s="24" t="str">
        <f t="shared" si="6"/>
        <v/>
      </c>
      <c r="N64" s="25"/>
      <c r="O64" s="24"/>
      <c r="P64" s="24"/>
      <c r="Q64" s="24" t="str">
        <f t="shared" si="7"/>
        <v/>
      </c>
      <c r="S64" s="24"/>
      <c r="T64" s="24"/>
      <c r="U64" s="24" t="str">
        <f t="shared" si="8"/>
        <v/>
      </c>
      <c r="V64" s="24"/>
    </row>
    <row r="65" spans="4:22" x14ac:dyDescent="0.15">
      <c r="D65" s="1"/>
      <c r="E65" s="1"/>
      <c r="F65" s="25"/>
      <c r="G65" s="24"/>
      <c r="H65" s="24"/>
      <c r="I65" s="24" t="str">
        <f t="shared" si="5"/>
        <v/>
      </c>
      <c r="K65" s="24"/>
      <c r="L65" s="24"/>
      <c r="M65" s="24" t="str">
        <f t="shared" si="6"/>
        <v/>
      </c>
      <c r="N65" s="25"/>
      <c r="O65" s="24"/>
      <c r="P65" s="24"/>
      <c r="Q65" s="24" t="str">
        <f t="shared" si="7"/>
        <v/>
      </c>
      <c r="S65" s="24"/>
      <c r="T65" s="24"/>
      <c r="U65" s="24" t="str">
        <f t="shared" si="8"/>
        <v/>
      </c>
      <c r="V65" s="24"/>
    </row>
    <row r="66" spans="4:22" x14ac:dyDescent="0.15">
      <c r="D66" s="1"/>
      <c r="E66" s="1"/>
      <c r="F66" s="25"/>
      <c r="G66" s="24"/>
      <c r="H66" s="24"/>
      <c r="I66" s="24" t="str">
        <f t="shared" si="5"/>
        <v/>
      </c>
      <c r="K66" s="24"/>
      <c r="L66" s="24"/>
      <c r="M66" s="24" t="str">
        <f t="shared" si="6"/>
        <v/>
      </c>
      <c r="N66" s="25"/>
      <c r="O66" s="24"/>
      <c r="P66" s="24"/>
      <c r="Q66" s="24" t="str">
        <f t="shared" si="7"/>
        <v/>
      </c>
      <c r="S66" s="24"/>
      <c r="T66" s="24"/>
      <c r="U66" s="24" t="str">
        <f t="shared" si="8"/>
        <v/>
      </c>
      <c r="V66" s="24"/>
    </row>
    <row r="67" spans="4:22" x14ac:dyDescent="0.15">
      <c r="D67" s="1"/>
      <c r="E67" s="1"/>
      <c r="F67" s="25"/>
      <c r="G67" s="24"/>
      <c r="H67" s="24"/>
      <c r="I67" s="24" t="str">
        <f t="shared" si="5"/>
        <v/>
      </c>
      <c r="K67" s="24"/>
      <c r="L67" s="24"/>
      <c r="M67" s="24" t="str">
        <f t="shared" si="6"/>
        <v/>
      </c>
      <c r="N67" s="25"/>
      <c r="O67" s="24"/>
      <c r="P67" s="24"/>
      <c r="Q67" s="24" t="str">
        <f t="shared" si="7"/>
        <v/>
      </c>
      <c r="S67" s="24"/>
      <c r="T67" s="24"/>
      <c r="U67" s="24" t="str">
        <f t="shared" si="8"/>
        <v/>
      </c>
      <c r="V67" s="24"/>
    </row>
    <row r="68" spans="4:22" x14ac:dyDescent="0.15">
      <c r="D68" s="1"/>
      <c r="E68" s="1"/>
      <c r="F68" s="25"/>
      <c r="G68" s="24"/>
      <c r="H68" s="24"/>
      <c r="I68" s="24" t="str">
        <f t="shared" si="5"/>
        <v/>
      </c>
      <c r="K68" s="24"/>
      <c r="L68" s="24"/>
      <c r="M68" s="24" t="str">
        <f t="shared" si="6"/>
        <v/>
      </c>
      <c r="N68" s="25"/>
      <c r="O68" s="24"/>
      <c r="P68" s="24"/>
      <c r="Q68" s="24" t="str">
        <f t="shared" si="7"/>
        <v/>
      </c>
      <c r="S68" s="24"/>
      <c r="T68" s="24"/>
      <c r="U68" s="24" t="str">
        <f t="shared" si="8"/>
        <v/>
      </c>
      <c r="V68" s="24"/>
    </row>
    <row r="69" spans="4:22" x14ac:dyDescent="0.15">
      <c r="D69" s="1"/>
      <c r="E69" s="1"/>
      <c r="F69" s="25"/>
      <c r="G69" s="24"/>
      <c r="H69" s="24"/>
      <c r="I69" s="24" t="str">
        <f t="shared" si="5"/>
        <v/>
      </c>
      <c r="K69" s="24"/>
      <c r="L69" s="24"/>
      <c r="M69" s="24" t="str">
        <f t="shared" si="6"/>
        <v/>
      </c>
      <c r="N69" s="25"/>
      <c r="O69" s="24"/>
      <c r="P69" s="24"/>
      <c r="Q69" s="24" t="str">
        <f t="shared" si="7"/>
        <v/>
      </c>
      <c r="S69" s="24"/>
      <c r="T69" s="24"/>
      <c r="U69" s="24" t="str">
        <f t="shared" si="8"/>
        <v/>
      </c>
      <c r="V69" s="24"/>
    </row>
    <row r="70" spans="4:22" x14ac:dyDescent="0.15">
      <c r="D70" s="1"/>
      <c r="E70" s="1"/>
      <c r="F70" s="25"/>
      <c r="G70" s="24"/>
      <c r="H70" s="24"/>
      <c r="I70" s="24" t="str">
        <f t="shared" si="5"/>
        <v/>
      </c>
      <c r="K70" s="24"/>
      <c r="L70" s="24"/>
      <c r="M70" s="24" t="str">
        <f t="shared" si="6"/>
        <v/>
      </c>
      <c r="N70" s="25"/>
      <c r="O70" s="24"/>
      <c r="P70" s="24"/>
      <c r="Q70" s="24" t="str">
        <f t="shared" si="7"/>
        <v/>
      </c>
      <c r="S70" s="24"/>
      <c r="T70" s="24"/>
      <c r="U70" s="24" t="str">
        <f t="shared" si="8"/>
        <v/>
      </c>
      <c r="V70" s="24"/>
    </row>
    <row r="71" spans="4:22" x14ac:dyDescent="0.15">
      <c r="D71" s="1"/>
      <c r="E71" s="1"/>
      <c r="F71" s="25"/>
      <c r="G71" s="24"/>
      <c r="H71" s="24"/>
      <c r="I71" s="24" t="str">
        <f t="shared" si="5"/>
        <v/>
      </c>
      <c r="K71" s="24"/>
      <c r="L71" s="24"/>
      <c r="M71" s="24" t="str">
        <f t="shared" si="6"/>
        <v/>
      </c>
      <c r="N71" s="25"/>
      <c r="O71" s="24"/>
      <c r="P71" s="24"/>
      <c r="Q71" s="24" t="str">
        <f t="shared" si="7"/>
        <v/>
      </c>
      <c r="S71" s="24"/>
      <c r="T71" s="24"/>
      <c r="U71" s="24" t="str">
        <f t="shared" si="8"/>
        <v/>
      </c>
      <c r="V71" s="24"/>
    </row>
    <row r="72" spans="4:22" x14ac:dyDescent="0.15">
      <c r="D72" s="1"/>
      <c r="E72" s="1"/>
      <c r="F72" s="25"/>
      <c r="G72" s="24"/>
      <c r="H72" s="24"/>
      <c r="I72" s="24" t="str">
        <f t="shared" si="5"/>
        <v/>
      </c>
      <c r="K72" s="24"/>
      <c r="L72" s="24"/>
      <c r="M72" s="24" t="str">
        <f t="shared" si="6"/>
        <v/>
      </c>
      <c r="N72" s="25"/>
      <c r="O72" s="24"/>
      <c r="P72" s="24"/>
      <c r="Q72" s="24" t="str">
        <f t="shared" si="7"/>
        <v/>
      </c>
      <c r="S72" s="24"/>
      <c r="T72" s="24"/>
      <c r="U72" s="24" t="str">
        <f t="shared" si="8"/>
        <v/>
      </c>
      <c r="V72" s="24"/>
    </row>
    <row r="73" spans="4:22" x14ac:dyDescent="0.15">
      <c r="D73" s="1"/>
      <c r="E73" s="1"/>
      <c r="F73" s="25"/>
      <c r="G73" s="24"/>
      <c r="H73" s="24"/>
      <c r="I73" s="24" t="str">
        <f t="shared" si="5"/>
        <v/>
      </c>
      <c r="K73" s="24"/>
      <c r="L73" s="24"/>
      <c r="M73" s="24" t="str">
        <f t="shared" si="6"/>
        <v/>
      </c>
      <c r="N73" s="25"/>
      <c r="O73" s="24"/>
      <c r="P73" s="24"/>
      <c r="Q73" s="24" t="str">
        <f t="shared" si="7"/>
        <v/>
      </c>
      <c r="S73" s="24"/>
      <c r="T73" s="24"/>
      <c r="U73" s="24" t="str">
        <f t="shared" si="8"/>
        <v/>
      </c>
      <c r="V73" s="24"/>
    </row>
    <row r="74" spans="4:22" x14ac:dyDescent="0.15">
      <c r="D74" s="1"/>
      <c r="E74" s="1"/>
      <c r="F74" s="25"/>
      <c r="G74" s="24"/>
      <c r="H74" s="24"/>
      <c r="I74" s="24" t="str">
        <f t="shared" si="5"/>
        <v/>
      </c>
      <c r="K74" s="24"/>
      <c r="L74" s="24"/>
      <c r="M74" s="24" t="str">
        <f t="shared" si="6"/>
        <v/>
      </c>
      <c r="N74" s="25"/>
      <c r="O74" s="24"/>
      <c r="P74" s="24"/>
      <c r="Q74" s="24" t="str">
        <f t="shared" si="7"/>
        <v/>
      </c>
      <c r="S74" s="24"/>
      <c r="T74" s="24"/>
      <c r="U74" s="24" t="str">
        <f t="shared" si="8"/>
        <v/>
      </c>
      <c r="V74" s="24"/>
    </row>
    <row r="75" spans="4:22" x14ac:dyDescent="0.15">
      <c r="D75" s="1"/>
      <c r="E75" s="1"/>
      <c r="F75" s="25"/>
      <c r="G75" s="24"/>
      <c r="H75" s="24"/>
      <c r="I75" s="24" t="str">
        <f t="shared" ref="I75:I97" si="9">IF(H75="","",H75*G75*1.05)</f>
        <v/>
      </c>
      <c r="K75" s="24"/>
      <c r="L75" s="24"/>
      <c r="M75" s="24" t="str">
        <f t="shared" ref="M75:M97" si="10">IF(L75="","",L75*K75*1.05)</f>
        <v/>
      </c>
      <c r="N75" s="25"/>
      <c r="O75" s="24"/>
      <c r="P75" s="24"/>
      <c r="Q75" s="24" t="str">
        <f t="shared" ref="Q75:Q97" si="11">IF(P75="","",P75*O75*1.05)</f>
        <v/>
      </c>
      <c r="S75" s="24"/>
      <c r="T75" s="24"/>
      <c r="U75" s="24" t="str">
        <f t="shared" ref="U75:U97" si="12">IF(T75="","",T75*S75*1.05)</f>
        <v/>
      </c>
      <c r="V75" s="24"/>
    </row>
    <row r="76" spans="4:22" x14ac:dyDescent="0.15">
      <c r="D76" s="1"/>
      <c r="E76" s="1"/>
      <c r="F76" s="25"/>
      <c r="G76" s="24"/>
      <c r="H76" s="24"/>
      <c r="I76" s="24" t="str">
        <f t="shared" si="9"/>
        <v/>
      </c>
      <c r="K76" s="24"/>
      <c r="L76" s="24"/>
      <c r="M76" s="24" t="str">
        <f t="shared" si="10"/>
        <v/>
      </c>
      <c r="N76" s="25"/>
      <c r="O76" s="24"/>
      <c r="P76" s="24"/>
      <c r="Q76" s="24" t="str">
        <f t="shared" si="11"/>
        <v/>
      </c>
      <c r="S76" s="24"/>
      <c r="T76" s="24"/>
      <c r="U76" s="24" t="str">
        <f t="shared" si="12"/>
        <v/>
      </c>
      <c r="V76" s="24"/>
    </row>
    <row r="77" spans="4:22" x14ac:dyDescent="0.15">
      <c r="D77" s="1"/>
      <c r="E77" s="1"/>
      <c r="F77" s="25"/>
      <c r="G77" s="24"/>
      <c r="H77" s="24"/>
      <c r="I77" s="24" t="str">
        <f t="shared" si="9"/>
        <v/>
      </c>
      <c r="K77" s="24"/>
      <c r="L77" s="24"/>
      <c r="M77" s="24" t="str">
        <f t="shared" si="10"/>
        <v/>
      </c>
      <c r="N77" s="25"/>
      <c r="O77" s="24"/>
      <c r="P77" s="24"/>
      <c r="Q77" s="24" t="str">
        <f t="shared" si="11"/>
        <v/>
      </c>
      <c r="S77" s="24"/>
      <c r="T77" s="24"/>
      <c r="U77" s="24" t="str">
        <f t="shared" si="12"/>
        <v/>
      </c>
      <c r="V77" s="24"/>
    </row>
    <row r="78" spans="4:22" x14ac:dyDescent="0.15">
      <c r="D78" s="1"/>
      <c r="E78" s="1"/>
      <c r="F78" s="25"/>
      <c r="G78" s="24"/>
      <c r="H78" s="24"/>
      <c r="I78" s="24" t="str">
        <f t="shared" si="9"/>
        <v/>
      </c>
      <c r="K78" s="24"/>
      <c r="L78" s="24"/>
      <c r="M78" s="24" t="str">
        <f t="shared" si="10"/>
        <v/>
      </c>
      <c r="N78" s="25"/>
      <c r="O78" s="24"/>
      <c r="P78" s="24"/>
      <c r="Q78" s="24" t="str">
        <f t="shared" si="11"/>
        <v/>
      </c>
      <c r="S78" s="24"/>
      <c r="T78" s="24"/>
      <c r="U78" s="24" t="str">
        <f t="shared" si="12"/>
        <v/>
      </c>
      <c r="V78" s="24"/>
    </row>
    <row r="79" spans="4:22" x14ac:dyDescent="0.15">
      <c r="D79" s="1"/>
      <c r="E79" s="1"/>
      <c r="F79" s="25"/>
      <c r="G79" s="24"/>
      <c r="H79" s="24"/>
      <c r="I79" s="24" t="str">
        <f t="shared" si="9"/>
        <v/>
      </c>
      <c r="K79" s="24"/>
      <c r="L79" s="24"/>
      <c r="M79" s="24" t="str">
        <f t="shared" si="10"/>
        <v/>
      </c>
      <c r="N79" s="25"/>
      <c r="O79" s="24"/>
      <c r="P79" s="24"/>
      <c r="Q79" s="24" t="str">
        <f t="shared" si="11"/>
        <v/>
      </c>
      <c r="S79" s="24"/>
      <c r="T79" s="24"/>
      <c r="U79" s="24" t="str">
        <f t="shared" si="12"/>
        <v/>
      </c>
      <c r="V79" s="24"/>
    </row>
    <row r="80" spans="4:22" x14ac:dyDescent="0.15">
      <c r="D80" s="1"/>
      <c r="E80" s="1"/>
      <c r="F80" s="25"/>
      <c r="G80" s="24"/>
      <c r="H80" s="24"/>
      <c r="I80" s="24" t="str">
        <f t="shared" si="9"/>
        <v/>
      </c>
      <c r="K80" s="24"/>
      <c r="L80" s="24"/>
      <c r="M80" s="24" t="str">
        <f t="shared" si="10"/>
        <v/>
      </c>
      <c r="N80" s="25"/>
      <c r="O80" s="24"/>
      <c r="P80" s="24"/>
      <c r="Q80" s="24" t="str">
        <f t="shared" si="11"/>
        <v/>
      </c>
      <c r="S80" s="24"/>
      <c r="T80" s="24"/>
      <c r="U80" s="24" t="str">
        <f t="shared" si="12"/>
        <v/>
      </c>
      <c r="V80" s="24"/>
    </row>
    <row r="81" spans="4:22" x14ac:dyDescent="0.15">
      <c r="D81" s="1"/>
      <c r="E81" s="1"/>
      <c r="F81" s="25"/>
      <c r="G81" s="24"/>
      <c r="H81" s="24"/>
      <c r="I81" s="24" t="str">
        <f t="shared" si="9"/>
        <v/>
      </c>
      <c r="K81" s="24"/>
      <c r="L81" s="24"/>
      <c r="M81" s="24" t="str">
        <f t="shared" si="10"/>
        <v/>
      </c>
      <c r="N81" s="25"/>
      <c r="O81" s="24"/>
      <c r="P81" s="24"/>
      <c r="Q81" s="24" t="str">
        <f t="shared" si="11"/>
        <v/>
      </c>
      <c r="S81" s="24"/>
      <c r="T81" s="24"/>
      <c r="U81" s="24" t="str">
        <f t="shared" si="12"/>
        <v/>
      </c>
      <c r="V81" s="24"/>
    </row>
    <row r="82" spans="4:22" x14ac:dyDescent="0.15">
      <c r="D82" s="1"/>
      <c r="E82" s="1"/>
      <c r="F82" s="25"/>
      <c r="G82" s="24"/>
      <c r="H82" s="24"/>
      <c r="I82" s="24" t="str">
        <f t="shared" si="9"/>
        <v/>
      </c>
      <c r="K82" s="24"/>
      <c r="L82" s="24"/>
      <c r="M82" s="24" t="str">
        <f t="shared" si="10"/>
        <v/>
      </c>
      <c r="N82" s="25"/>
      <c r="O82" s="24"/>
      <c r="P82" s="24"/>
      <c r="Q82" s="24" t="str">
        <f t="shared" si="11"/>
        <v/>
      </c>
      <c r="S82" s="24"/>
      <c r="T82" s="24"/>
      <c r="U82" s="24" t="str">
        <f t="shared" si="12"/>
        <v/>
      </c>
      <c r="V82" s="24"/>
    </row>
    <row r="83" spans="4:22" x14ac:dyDescent="0.15">
      <c r="D83" s="1"/>
      <c r="E83" s="1"/>
      <c r="F83" s="25"/>
      <c r="G83" s="24"/>
      <c r="H83" s="24"/>
      <c r="I83" s="24" t="str">
        <f t="shared" si="9"/>
        <v/>
      </c>
      <c r="K83" s="24"/>
      <c r="L83" s="24"/>
      <c r="M83" s="24" t="str">
        <f t="shared" si="10"/>
        <v/>
      </c>
      <c r="N83" s="25"/>
      <c r="O83" s="24"/>
      <c r="P83" s="24"/>
      <c r="Q83" s="24" t="str">
        <f t="shared" si="11"/>
        <v/>
      </c>
      <c r="S83" s="24"/>
      <c r="T83" s="24"/>
      <c r="U83" s="24" t="str">
        <f t="shared" si="12"/>
        <v/>
      </c>
      <c r="V83" s="24"/>
    </row>
    <row r="84" spans="4:22" x14ac:dyDescent="0.15">
      <c r="D84" s="1"/>
      <c r="E84" s="1"/>
      <c r="F84" s="25"/>
      <c r="G84" s="24"/>
      <c r="H84" s="24"/>
      <c r="I84" s="24" t="str">
        <f t="shared" si="9"/>
        <v/>
      </c>
      <c r="K84" s="24"/>
      <c r="L84" s="24"/>
      <c r="M84" s="24" t="str">
        <f t="shared" si="10"/>
        <v/>
      </c>
      <c r="N84" s="25"/>
      <c r="O84" s="24"/>
      <c r="P84" s="24"/>
      <c r="Q84" s="24" t="str">
        <f t="shared" si="11"/>
        <v/>
      </c>
      <c r="S84" s="24"/>
      <c r="T84" s="24"/>
      <c r="U84" s="24" t="str">
        <f t="shared" si="12"/>
        <v/>
      </c>
      <c r="V84" s="24"/>
    </row>
    <row r="85" spans="4:22" x14ac:dyDescent="0.15">
      <c r="D85" s="1"/>
      <c r="E85" s="1"/>
      <c r="F85" s="25"/>
      <c r="G85" s="24"/>
      <c r="H85" s="24"/>
      <c r="I85" s="24" t="str">
        <f t="shared" si="9"/>
        <v/>
      </c>
      <c r="K85" s="24"/>
      <c r="L85" s="24"/>
      <c r="M85" s="24" t="str">
        <f t="shared" si="10"/>
        <v/>
      </c>
      <c r="N85" s="25"/>
      <c r="O85" s="24"/>
      <c r="P85" s="24"/>
      <c r="Q85" s="24" t="str">
        <f t="shared" si="11"/>
        <v/>
      </c>
      <c r="S85" s="24"/>
      <c r="T85" s="24"/>
      <c r="U85" s="24" t="str">
        <f t="shared" si="12"/>
        <v/>
      </c>
      <c r="V85" s="24"/>
    </row>
    <row r="86" spans="4:22" x14ac:dyDescent="0.15">
      <c r="D86" s="1"/>
      <c r="E86" s="1"/>
      <c r="F86" s="25"/>
      <c r="G86" s="24"/>
      <c r="H86" s="24"/>
      <c r="I86" s="24" t="str">
        <f t="shared" si="9"/>
        <v/>
      </c>
      <c r="K86" s="24"/>
      <c r="L86" s="24"/>
      <c r="M86" s="24" t="str">
        <f t="shared" si="10"/>
        <v/>
      </c>
      <c r="N86" s="25"/>
      <c r="O86" s="24"/>
      <c r="P86" s="24"/>
      <c r="Q86" s="24" t="str">
        <f t="shared" si="11"/>
        <v/>
      </c>
      <c r="S86" s="24"/>
      <c r="T86" s="24"/>
      <c r="U86" s="24" t="str">
        <f t="shared" si="12"/>
        <v/>
      </c>
      <c r="V86" s="24"/>
    </row>
    <row r="87" spans="4:22" x14ac:dyDescent="0.15">
      <c r="D87" s="1"/>
      <c r="E87" s="1"/>
      <c r="F87" s="25"/>
      <c r="G87" s="24"/>
      <c r="H87" s="24"/>
      <c r="I87" s="24" t="str">
        <f t="shared" si="9"/>
        <v/>
      </c>
      <c r="K87" s="24"/>
      <c r="L87" s="24"/>
      <c r="M87" s="24" t="str">
        <f t="shared" si="10"/>
        <v/>
      </c>
      <c r="N87" s="25"/>
      <c r="O87" s="24"/>
      <c r="P87" s="24"/>
      <c r="Q87" s="24" t="str">
        <f t="shared" si="11"/>
        <v/>
      </c>
      <c r="S87" s="24"/>
      <c r="T87" s="24"/>
      <c r="U87" s="24" t="str">
        <f t="shared" si="12"/>
        <v/>
      </c>
      <c r="V87" s="24"/>
    </row>
    <row r="88" spans="4:22" x14ac:dyDescent="0.15">
      <c r="D88" s="1"/>
      <c r="E88" s="1"/>
      <c r="F88" s="25"/>
      <c r="G88" s="24"/>
      <c r="H88" s="24"/>
      <c r="I88" s="24" t="str">
        <f t="shared" si="9"/>
        <v/>
      </c>
      <c r="K88" s="24"/>
      <c r="L88" s="24"/>
      <c r="M88" s="24" t="str">
        <f t="shared" si="10"/>
        <v/>
      </c>
      <c r="N88" s="25"/>
      <c r="O88" s="24"/>
      <c r="P88" s="24"/>
      <c r="Q88" s="24" t="str">
        <f t="shared" si="11"/>
        <v/>
      </c>
      <c r="S88" s="24"/>
      <c r="T88" s="24"/>
      <c r="U88" s="24" t="str">
        <f t="shared" si="12"/>
        <v/>
      </c>
      <c r="V88" s="24"/>
    </row>
    <row r="89" spans="4:22" x14ac:dyDescent="0.15">
      <c r="D89" s="1"/>
      <c r="E89" s="1"/>
      <c r="F89" s="25"/>
      <c r="G89" s="24"/>
      <c r="H89" s="24"/>
      <c r="I89" s="24" t="str">
        <f t="shared" si="9"/>
        <v/>
      </c>
      <c r="K89" s="24"/>
      <c r="L89" s="24"/>
      <c r="M89" s="24" t="str">
        <f t="shared" si="10"/>
        <v/>
      </c>
      <c r="N89" s="25"/>
      <c r="O89" s="24"/>
      <c r="P89" s="24"/>
      <c r="Q89" s="24" t="str">
        <f t="shared" si="11"/>
        <v/>
      </c>
      <c r="S89" s="24"/>
      <c r="T89" s="24"/>
      <c r="U89" s="24" t="str">
        <f t="shared" si="12"/>
        <v/>
      </c>
      <c r="V89" s="24"/>
    </row>
    <row r="90" spans="4:22" x14ac:dyDescent="0.15">
      <c r="D90" s="1"/>
      <c r="E90" s="1"/>
      <c r="F90" s="25"/>
      <c r="G90" s="24"/>
      <c r="H90" s="24"/>
      <c r="I90" s="24" t="str">
        <f t="shared" si="9"/>
        <v/>
      </c>
      <c r="K90" s="24"/>
      <c r="L90" s="24"/>
      <c r="M90" s="24" t="str">
        <f t="shared" si="10"/>
        <v/>
      </c>
      <c r="N90" s="25"/>
      <c r="O90" s="24"/>
      <c r="P90" s="24"/>
      <c r="Q90" s="24" t="str">
        <f t="shared" si="11"/>
        <v/>
      </c>
      <c r="S90" s="24"/>
      <c r="T90" s="24"/>
      <c r="U90" s="24" t="str">
        <f t="shared" si="12"/>
        <v/>
      </c>
      <c r="V90" s="24"/>
    </row>
    <row r="91" spans="4:22" x14ac:dyDescent="0.15">
      <c r="D91" s="1"/>
      <c r="E91" s="1"/>
      <c r="F91" s="25"/>
      <c r="G91" s="24"/>
      <c r="H91" s="24"/>
      <c r="I91" s="24" t="str">
        <f t="shared" si="9"/>
        <v/>
      </c>
      <c r="K91" s="24"/>
      <c r="L91" s="24"/>
      <c r="M91" s="24" t="str">
        <f t="shared" si="10"/>
        <v/>
      </c>
      <c r="N91" s="25"/>
      <c r="O91" s="24"/>
      <c r="P91" s="24"/>
      <c r="Q91" s="24" t="str">
        <f t="shared" si="11"/>
        <v/>
      </c>
      <c r="S91" s="24"/>
      <c r="T91" s="24"/>
      <c r="U91" s="24" t="str">
        <f t="shared" si="12"/>
        <v/>
      </c>
      <c r="V91" s="24"/>
    </row>
    <row r="92" spans="4:22" x14ac:dyDescent="0.15">
      <c r="D92" s="1"/>
      <c r="E92" s="1"/>
      <c r="F92" s="25"/>
      <c r="G92" s="24"/>
      <c r="H92" s="24"/>
      <c r="I92" s="24" t="str">
        <f t="shared" si="9"/>
        <v/>
      </c>
      <c r="K92" s="24"/>
      <c r="L92" s="24"/>
      <c r="M92" s="24" t="str">
        <f t="shared" si="10"/>
        <v/>
      </c>
      <c r="N92" s="25"/>
      <c r="O92" s="24"/>
      <c r="P92" s="24"/>
      <c r="Q92" s="24" t="str">
        <f t="shared" si="11"/>
        <v/>
      </c>
      <c r="S92" s="24"/>
      <c r="T92" s="24"/>
      <c r="U92" s="24" t="str">
        <f t="shared" si="12"/>
        <v/>
      </c>
      <c r="V92" s="24"/>
    </row>
    <row r="93" spans="4:22" x14ac:dyDescent="0.15">
      <c r="D93" s="1"/>
      <c r="E93" s="1"/>
      <c r="F93" s="25"/>
      <c r="G93" s="24"/>
      <c r="H93" s="24"/>
      <c r="I93" s="24" t="str">
        <f t="shared" si="9"/>
        <v/>
      </c>
      <c r="K93" s="24"/>
      <c r="L93" s="24"/>
      <c r="M93" s="24" t="str">
        <f t="shared" si="10"/>
        <v/>
      </c>
      <c r="N93" s="25"/>
      <c r="O93" s="24"/>
      <c r="P93" s="24"/>
      <c r="Q93" s="24" t="str">
        <f t="shared" si="11"/>
        <v/>
      </c>
      <c r="S93" s="24"/>
      <c r="T93" s="24"/>
      <c r="U93" s="24" t="str">
        <f t="shared" si="12"/>
        <v/>
      </c>
      <c r="V93" s="24"/>
    </row>
    <row r="94" spans="4:22" x14ac:dyDescent="0.15">
      <c r="D94" s="1"/>
      <c r="E94" s="1"/>
      <c r="F94" s="25"/>
      <c r="G94" s="24"/>
      <c r="H94" s="24"/>
      <c r="I94" s="24" t="str">
        <f t="shared" si="9"/>
        <v/>
      </c>
      <c r="K94" s="24"/>
      <c r="L94" s="24"/>
      <c r="M94" s="24" t="str">
        <f t="shared" si="10"/>
        <v/>
      </c>
      <c r="N94" s="25"/>
      <c r="O94" s="24"/>
      <c r="P94" s="24"/>
      <c r="Q94" s="24" t="str">
        <f t="shared" si="11"/>
        <v/>
      </c>
      <c r="S94" s="24"/>
      <c r="T94" s="24"/>
      <c r="U94" s="24" t="str">
        <f t="shared" si="12"/>
        <v/>
      </c>
      <c r="V94" s="24"/>
    </row>
    <row r="95" spans="4:22" x14ac:dyDescent="0.15">
      <c r="D95" s="1"/>
      <c r="E95" s="1"/>
      <c r="F95" s="25"/>
      <c r="G95" s="24"/>
      <c r="H95" s="24"/>
      <c r="I95" s="24" t="str">
        <f t="shared" si="9"/>
        <v/>
      </c>
      <c r="K95" s="24"/>
      <c r="L95" s="24"/>
      <c r="M95" s="24" t="str">
        <f t="shared" si="10"/>
        <v/>
      </c>
      <c r="N95" s="25"/>
      <c r="O95" s="24"/>
      <c r="P95" s="24"/>
      <c r="Q95" s="24" t="str">
        <f t="shared" si="11"/>
        <v/>
      </c>
      <c r="S95" s="24"/>
      <c r="T95" s="24"/>
      <c r="U95" s="24" t="str">
        <f t="shared" si="12"/>
        <v/>
      </c>
      <c r="V95" s="24"/>
    </row>
    <row r="96" spans="4:22" x14ac:dyDescent="0.15">
      <c r="D96" s="1"/>
      <c r="E96" s="1"/>
      <c r="F96" s="25"/>
      <c r="G96" s="24"/>
      <c r="H96" s="24"/>
      <c r="I96" s="24" t="str">
        <f t="shared" si="9"/>
        <v/>
      </c>
      <c r="K96" s="24"/>
      <c r="L96" s="24"/>
      <c r="M96" s="24" t="str">
        <f t="shared" si="10"/>
        <v/>
      </c>
      <c r="N96" s="25"/>
      <c r="O96" s="24"/>
      <c r="P96" s="24"/>
      <c r="Q96" s="24" t="str">
        <f t="shared" si="11"/>
        <v/>
      </c>
      <c r="S96" s="24"/>
      <c r="T96" s="24"/>
      <c r="U96" s="24" t="str">
        <f t="shared" si="12"/>
        <v/>
      </c>
      <c r="V96" s="24"/>
    </row>
    <row r="97" spans="4:22" x14ac:dyDescent="0.15">
      <c r="D97" s="1"/>
      <c r="E97" s="1"/>
      <c r="F97" s="25"/>
      <c r="G97" s="24"/>
      <c r="H97" s="24"/>
      <c r="I97" s="24" t="str">
        <f t="shared" si="9"/>
        <v/>
      </c>
      <c r="K97" s="24"/>
      <c r="L97" s="24"/>
      <c r="M97" s="24" t="str">
        <f t="shared" si="10"/>
        <v/>
      </c>
      <c r="N97" s="25"/>
      <c r="O97" s="24"/>
      <c r="P97" s="24"/>
      <c r="Q97" s="24" t="str">
        <f t="shared" si="11"/>
        <v/>
      </c>
      <c r="S97" s="24"/>
      <c r="T97" s="24"/>
      <c r="U97" s="24" t="str">
        <f t="shared" si="12"/>
        <v/>
      </c>
      <c r="V97" s="24"/>
    </row>
  </sheetData>
  <phoneticPr fontId="2"/>
  <conditionalFormatting sqref="G7 F4:G5 A3:I3 A18:M97 K3 K5 K7 I4:I5 I7 M7 M3:M5 V6:V17 H4:H17 A4:E17 U4:U17 L3:L17 P3:Q17 T3:T17">
    <cfRule type="expression" dxfId="46" priority="96" stopIfTrue="1">
      <formula>$A3&lt;&gt;""</formula>
    </cfRule>
  </conditionalFormatting>
  <conditionalFormatting sqref="N18:V97 U3:V3 V4:V5">
    <cfRule type="expression" dxfId="45" priority="95" stopIfTrue="1">
      <formula>$A3&lt;&gt;""</formula>
    </cfRule>
  </conditionalFormatting>
  <conditionalFormatting sqref="K4">
    <cfRule type="expression" dxfId="44" priority="94" stopIfTrue="1">
      <formula>$A4&lt;&gt;""</formula>
    </cfRule>
  </conditionalFormatting>
  <conditionalFormatting sqref="G6 K6 I6 M6">
    <cfRule type="expression" dxfId="43" priority="93" stopIfTrue="1">
      <formula>$A6&lt;&gt;""</formula>
    </cfRule>
  </conditionalFormatting>
  <conditionalFormatting sqref="G12 G8:G10 K8 K10 K12 I8:I10 I12 M12 M8:M10">
    <cfRule type="expression" dxfId="42" priority="89" stopIfTrue="1">
      <formula>$A8&lt;&gt;""</formula>
    </cfRule>
  </conditionalFormatting>
  <conditionalFormatting sqref="K9">
    <cfRule type="expression" dxfId="41" priority="87" stopIfTrue="1">
      <formula>$A9&lt;&gt;""</formula>
    </cfRule>
  </conditionalFormatting>
  <conditionalFormatting sqref="G11 K11 I11 M11">
    <cfRule type="expression" dxfId="40" priority="86" stopIfTrue="1">
      <formula>$A11&lt;&gt;""</formula>
    </cfRule>
  </conditionalFormatting>
  <conditionalFormatting sqref="G17 G13:G15 K13 K15 K17 I13:I15 I17 M17 M13:M15">
    <cfRule type="expression" dxfId="39" priority="82" stopIfTrue="1">
      <formula>$A13&lt;&gt;""</formula>
    </cfRule>
  </conditionalFormatting>
  <conditionalFormatting sqref="K14">
    <cfRule type="expression" dxfId="38" priority="80" stopIfTrue="1">
      <formula>$A14&lt;&gt;""</formula>
    </cfRule>
  </conditionalFormatting>
  <conditionalFormatting sqref="G16 K16 I16 M16">
    <cfRule type="expression" dxfId="37" priority="79" stopIfTrue="1">
      <formula>$A16&lt;&gt;""</formula>
    </cfRule>
  </conditionalFormatting>
  <conditionalFormatting sqref="O3 O5 O7">
    <cfRule type="expression" dxfId="36" priority="42" stopIfTrue="1">
      <formula>$A3&lt;&gt;""</formula>
    </cfRule>
  </conditionalFormatting>
  <conditionalFormatting sqref="O4">
    <cfRule type="expression" dxfId="35" priority="41" stopIfTrue="1">
      <formula>$A4&lt;&gt;""</formula>
    </cfRule>
  </conditionalFormatting>
  <conditionalFormatting sqref="O6">
    <cfRule type="expression" dxfId="34" priority="40" stopIfTrue="1">
      <formula>$A6&lt;&gt;""</formula>
    </cfRule>
  </conditionalFormatting>
  <conditionalFormatting sqref="O8 O10 O12">
    <cfRule type="expression" dxfId="33" priority="39" stopIfTrue="1">
      <formula>$A8&lt;&gt;""</formula>
    </cfRule>
  </conditionalFormatting>
  <conditionalFormatting sqref="O9">
    <cfRule type="expression" dxfId="32" priority="38" stopIfTrue="1">
      <formula>$A9&lt;&gt;""</formula>
    </cfRule>
  </conditionalFormatting>
  <conditionalFormatting sqref="O11">
    <cfRule type="expression" dxfId="31" priority="37" stopIfTrue="1">
      <formula>$A11&lt;&gt;""</formula>
    </cfRule>
  </conditionalFormatting>
  <conditionalFormatting sqref="O13 O15 O17">
    <cfRule type="expression" dxfId="30" priority="36" stopIfTrue="1">
      <formula>$A13&lt;&gt;""</formula>
    </cfRule>
  </conditionalFormatting>
  <conditionalFormatting sqref="O14">
    <cfRule type="expression" dxfId="29" priority="35" stopIfTrue="1">
      <formula>$A14&lt;&gt;""</formula>
    </cfRule>
  </conditionalFormatting>
  <conditionalFormatting sqref="O16">
    <cfRule type="expression" dxfId="28" priority="34" stopIfTrue="1">
      <formula>$A16&lt;&gt;""</formula>
    </cfRule>
  </conditionalFormatting>
  <conditionalFormatting sqref="S3 S5 S7">
    <cfRule type="expression" dxfId="27" priority="31" stopIfTrue="1">
      <formula>$A3&lt;&gt;""</formula>
    </cfRule>
  </conditionalFormatting>
  <conditionalFormatting sqref="S4">
    <cfRule type="expression" dxfId="26" priority="30" stopIfTrue="1">
      <formula>$A4&lt;&gt;""</formula>
    </cfRule>
  </conditionalFormatting>
  <conditionalFormatting sqref="S6">
    <cfRule type="expression" dxfId="25" priority="29" stopIfTrue="1">
      <formula>$A6&lt;&gt;""</formula>
    </cfRule>
  </conditionalFormatting>
  <conditionalFormatting sqref="S8 S10 S12">
    <cfRule type="expression" dxfId="24" priority="28" stopIfTrue="1">
      <formula>$A8&lt;&gt;""</formula>
    </cfRule>
  </conditionalFormatting>
  <conditionalFormatting sqref="S9">
    <cfRule type="expression" dxfId="23" priority="27" stopIfTrue="1">
      <formula>$A9&lt;&gt;""</formula>
    </cfRule>
  </conditionalFormatting>
  <conditionalFormatting sqref="S11">
    <cfRule type="expression" dxfId="22" priority="26" stopIfTrue="1">
      <formula>$A11&lt;&gt;""</formula>
    </cfRule>
  </conditionalFormatting>
  <conditionalFormatting sqref="S13 S15 S17">
    <cfRule type="expression" dxfId="21" priority="25" stopIfTrue="1">
      <formula>$A13&lt;&gt;""</formula>
    </cfRule>
  </conditionalFormatting>
  <conditionalFormatting sqref="S14">
    <cfRule type="expression" dxfId="20" priority="24" stopIfTrue="1">
      <formula>$A14&lt;&gt;""</formula>
    </cfRule>
  </conditionalFormatting>
  <conditionalFormatting sqref="S16">
    <cfRule type="expression" dxfId="19" priority="23" stopIfTrue="1">
      <formula>$A16&lt;&gt;""</formula>
    </cfRule>
  </conditionalFormatting>
  <conditionalFormatting sqref="F6:F8">
    <cfRule type="expression" dxfId="18" priority="20" stopIfTrue="1">
      <formula>$A6&lt;&gt;""</formula>
    </cfRule>
  </conditionalFormatting>
  <conditionalFormatting sqref="F9:F11">
    <cfRule type="expression" dxfId="17" priority="19" stopIfTrue="1">
      <formula>$A9&lt;&gt;""</formula>
    </cfRule>
  </conditionalFormatting>
  <conditionalFormatting sqref="F12:F14">
    <cfRule type="expression" dxfId="16" priority="18" stopIfTrue="1">
      <formula>$A12&lt;&gt;""</formula>
    </cfRule>
  </conditionalFormatting>
  <conditionalFormatting sqref="F15:F17">
    <cfRule type="expression" dxfId="15" priority="16" stopIfTrue="1">
      <formula>$A15&lt;&gt;""</formula>
    </cfRule>
  </conditionalFormatting>
  <conditionalFormatting sqref="J3:J5">
    <cfRule type="expression" dxfId="14" priority="15" stopIfTrue="1">
      <formula>$A3&lt;&gt;""</formula>
    </cfRule>
  </conditionalFormatting>
  <conditionalFormatting sqref="J6:J8">
    <cfRule type="expression" dxfId="13" priority="14" stopIfTrue="1">
      <formula>$A6&lt;&gt;""</formula>
    </cfRule>
  </conditionalFormatting>
  <conditionalFormatting sqref="J9:J11">
    <cfRule type="expression" dxfId="12" priority="13" stopIfTrue="1">
      <formula>$A9&lt;&gt;""</formula>
    </cfRule>
  </conditionalFormatting>
  <conditionalFormatting sqref="J12:J14">
    <cfRule type="expression" dxfId="11" priority="12" stopIfTrue="1">
      <formula>$A12&lt;&gt;""</formula>
    </cfRule>
  </conditionalFormatting>
  <conditionalFormatting sqref="J15:J17">
    <cfRule type="expression" dxfId="10" priority="11" stopIfTrue="1">
      <formula>$A15&lt;&gt;""</formula>
    </cfRule>
  </conditionalFormatting>
  <conditionalFormatting sqref="N3:N5">
    <cfRule type="expression" dxfId="9" priority="10" stopIfTrue="1">
      <formula>$A3&lt;&gt;""</formula>
    </cfRule>
  </conditionalFormatting>
  <conditionalFormatting sqref="N6:N8">
    <cfRule type="expression" dxfId="8" priority="9" stopIfTrue="1">
      <formula>$A6&lt;&gt;""</formula>
    </cfRule>
  </conditionalFormatting>
  <conditionalFormatting sqref="N9:N11">
    <cfRule type="expression" dxfId="7" priority="8" stopIfTrue="1">
      <formula>$A9&lt;&gt;""</formula>
    </cfRule>
  </conditionalFormatting>
  <conditionalFormatting sqref="N12:N14">
    <cfRule type="expression" dxfId="6" priority="7" stopIfTrue="1">
      <formula>$A12&lt;&gt;""</formula>
    </cfRule>
  </conditionalFormatting>
  <conditionalFormatting sqref="N15:N17">
    <cfRule type="expression" dxfId="5" priority="6" stopIfTrue="1">
      <formula>$A15&lt;&gt;""</formula>
    </cfRule>
  </conditionalFormatting>
  <conditionalFormatting sqref="R15:R17">
    <cfRule type="expression" dxfId="4" priority="1" stopIfTrue="1">
      <formula>$A15&lt;&gt;""</formula>
    </cfRule>
  </conditionalFormatting>
  <conditionalFormatting sqref="R3:R5">
    <cfRule type="expression" dxfId="3" priority="5" stopIfTrue="1">
      <formula>$A3&lt;&gt;""</formula>
    </cfRule>
  </conditionalFormatting>
  <conditionalFormatting sqref="R6:R8">
    <cfRule type="expression" dxfId="2" priority="4" stopIfTrue="1">
      <formula>$A6&lt;&gt;""</formula>
    </cfRule>
  </conditionalFormatting>
  <conditionalFormatting sqref="R9:R11">
    <cfRule type="expression" dxfId="1" priority="3" stopIfTrue="1">
      <formula>$A9&lt;&gt;""</formula>
    </cfRule>
  </conditionalFormatting>
  <conditionalFormatting sqref="R12:R14">
    <cfRule type="expression" dxfId="0" priority="2" stopIfTrue="1">
      <formula>$A12&lt;&gt;""</formula>
    </cfRule>
  </conditionalFormatting>
  <pageMargins left="0.70866141732283472" right="0.70866141732283472" top="0.74803149606299213" bottom="0.74803149606299213" header="0.31496062992125984" footer="0.31496062992125984"/>
  <pageSetup paperSize="9" scale="103" orientation="portrait" r:id="rId1"/>
  <colBreaks count="5" manualBreakCount="5">
    <brk id="9" max="27" man="1"/>
    <brk id="13" max="27" man="1"/>
    <brk id="17" max="27" man="1"/>
    <brk id="36" max="27" man="1"/>
    <brk id="38" max="27"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請求書作成">
                <anchor moveWithCells="1" sizeWithCells="1">
                  <from>
                    <xdr:col>1</xdr:col>
                    <xdr:colOff>219075</xdr:colOff>
                    <xdr:row>18</xdr:row>
                    <xdr:rowOff>19050</xdr:rowOff>
                  </from>
                  <to>
                    <xdr:col>6</xdr:col>
                    <xdr:colOff>180975</xdr:colOff>
                    <xdr:row>29</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0070C0"/>
  </sheetPr>
  <dimension ref="A1:J44"/>
  <sheetViews>
    <sheetView showZeros="0" tabSelected="1" view="pageBreakPreview" zoomScale="120" zoomScaleNormal="100" zoomScaleSheetLayoutView="120" workbookViewId="0"/>
  </sheetViews>
  <sheetFormatPr defaultColWidth="9" defaultRowHeight="13.5" x14ac:dyDescent="0.15"/>
  <cols>
    <col min="1" max="1" width="10.375" style="3" customWidth="1"/>
    <col min="2" max="6" width="9" style="3"/>
    <col min="7" max="7" width="10.5" style="3" customWidth="1"/>
    <col min="8" max="8" width="10.25" style="3" bestFit="1" customWidth="1"/>
    <col min="9" max="9" width="10.875" style="3" customWidth="1"/>
    <col min="10" max="16384" width="9" style="3"/>
  </cols>
  <sheetData>
    <row r="1" spans="1:10" ht="21.75" thickBot="1" x14ac:dyDescent="0.25">
      <c r="A1" s="31" t="s">
        <v>0</v>
      </c>
      <c r="B1" s="31"/>
      <c r="C1" s="31"/>
      <c r="D1" s="31"/>
      <c r="E1" s="31"/>
      <c r="F1" s="31"/>
      <c r="G1" s="31"/>
      <c r="H1" s="31"/>
      <c r="I1" s="31"/>
      <c r="J1" s="38">
        <v>5</v>
      </c>
    </row>
    <row r="2" spans="1:10" ht="21" x14ac:dyDescent="0.2">
      <c r="A2" s="2"/>
      <c r="B2" s="2"/>
      <c r="C2" s="2"/>
      <c r="D2" s="2"/>
      <c r="E2" s="2"/>
      <c r="F2" s="2"/>
      <c r="G2" s="2"/>
      <c r="H2" s="32">
        <f>VLOOKUP($J$1,●請求台帳!$A:$U,4,0)</f>
        <v>43773</v>
      </c>
      <c r="I2" s="33"/>
    </row>
    <row r="3" spans="1:10" ht="28.5" customHeight="1" x14ac:dyDescent="0.2">
      <c r="A3" s="30" t="str">
        <f>VLOOKUP($J$1,●請求台帳!$A:$U,3,0)&amp;" 御中"</f>
        <v>Client5 御中</v>
      </c>
      <c r="B3" s="30"/>
      <c r="C3" s="30"/>
      <c r="D3" s="30"/>
      <c r="E3" s="30"/>
    </row>
    <row r="9" spans="1:10" x14ac:dyDescent="0.15">
      <c r="F9" s="3" t="s">
        <v>33</v>
      </c>
      <c r="G9" s="44" t="str">
        <f>VLOOKUP($J$1,●請求台帳!$A:$V,22,0)</f>
        <v>b</v>
      </c>
    </row>
    <row r="13" spans="1:10" x14ac:dyDescent="0.15">
      <c r="A13" s="4" t="s">
        <v>1</v>
      </c>
      <c r="B13" s="4"/>
      <c r="C13" s="4"/>
      <c r="D13" s="4"/>
    </row>
    <row r="14" spans="1:10" x14ac:dyDescent="0.15">
      <c r="A14" s="3" t="s">
        <v>2</v>
      </c>
    </row>
    <row r="15" spans="1:10" x14ac:dyDescent="0.15">
      <c r="A15" s="3" t="s">
        <v>3</v>
      </c>
    </row>
    <row r="17" spans="1:9" ht="22.5" customHeight="1" thickBot="1" x14ac:dyDescent="0.25">
      <c r="A17" s="5" t="s">
        <v>4</v>
      </c>
      <c r="B17" s="5"/>
      <c r="C17" s="37">
        <f>I27</f>
        <v>3194638.65</v>
      </c>
      <c r="D17" s="37"/>
    </row>
    <row r="18" spans="1:9" ht="14.25" thickTop="1" x14ac:dyDescent="0.15"/>
    <row r="20" spans="1:9" ht="18" customHeight="1" x14ac:dyDescent="0.15">
      <c r="A20" s="46" t="s">
        <v>24</v>
      </c>
      <c r="B20" s="47"/>
      <c r="C20" s="47"/>
      <c r="D20" s="47"/>
      <c r="E20" s="47"/>
      <c r="F20" s="48"/>
      <c r="G20" s="6" t="s">
        <v>5</v>
      </c>
      <c r="H20" s="6" t="s">
        <v>6</v>
      </c>
      <c r="I20" s="6" t="s">
        <v>7</v>
      </c>
    </row>
    <row r="21" spans="1:9" ht="19.5" customHeight="1" x14ac:dyDescent="0.15">
      <c r="A21" s="34" t="str">
        <f>VLOOKUP($J$1,●請求台帳!$A:$U,6,0)</f>
        <v>〇か月分 Column6</v>
      </c>
      <c r="B21" s="35"/>
      <c r="C21" s="35"/>
      <c r="D21" s="35"/>
      <c r="E21" s="35"/>
      <c r="F21" s="36"/>
      <c r="G21" s="28">
        <f>VLOOKUP($J$1,●請求台帳!$A:$U,7,0)</f>
        <v>1</v>
      </c>
      <c r="H21" s="28">
        <f>VLOOKUP($J$1,●請求台帳!$A:$U,8,0)</f>
        <v>717197</v>
      </c>
      <c r="I21" s="27">
        <f>G21*H21</f>
        <v>717197</v>
      </c>
    </row>
    <row r="22" spans="1:9" ht="19.5" customHeight="1" x14ac:dyDescent="0.15">
      <c r="A22" s="34" t="str">
        <f>VLOOKUP($J$1,●請求台帳!$A:$U,10,0)</f>
        <v>〇か月分 Column10</v>
      </c>
      <c r="B22" s="35"/>
      <c r="C22" s="35"/>
      <c r="D22" s="35"/>
      <c r="E22" s="35"/>
      <c r="F22" s="36"/>
      <c r="G22" s="28">
        <f>VLOOKUP($J$1,●請求台帳!$A:$U,11,0)</f>
        <v>1</v>
      </c>
      <c r="H22" s="28">
        <f>VLOOKUP($J$1,●請求台帳!$A:$U,12,0)</f>
        <v>910210</v>
      </c>
      <c r="I22" s="27">
        <f>G22*H22</f>
        <v>910210</v>
      </c>
    </row>
    <row r="23" spans="1:9" ht="19.5" customHeight="1" x14ac:dyDescent="0.15">
      <c r="A23" s="34" t="str">
        <f>VLOOKUP($J$1,●請求台帳!$A:$U,14,0)</f>
        <v>〇か月分 Column14</v>
      </c>
      <c r="B23" s="35"/>
      <c r="C23" s="35"/>
      <c r="D23" s="35"/>
      <c r="E23" s="35"/>
      <c r="F23" s="36"/>
      <c r="G23" s="28">
        <f>VLOOKUP($J$1,●請求台帳!$A:$U,15,0)</f>
        <v>1</v>
      </c>
      <c r="H23" s="28">
        <f>VLOOKUP($J$1,●請求台帳!$A:$U,16,0)</f>
        <v>513678</v>
      </c>
      <c r="I23" s="27">
        <f>G23*H23</f>
        <v>513678</v>
      </c>
    </row>
    <row r="24" spans="1:9" ht="19.5" customHeight="1" x14ac:dyDescent="0.15">
      <c r="A24" s="34" t="str">
        <f>VLOOKUP($J$1,●請求台帳!$A:$U,18,0)</f>
        <v>〇か月分 Column18</v>
      </c>
      <c r="B24" s="35"/>
      <c r="C24" s="35"/>
      <c r="D24" s="35"/>
      <c r="E24" s="35"/>
      <c r="F24" s="36"/>
      <c r="G24" s="28">
        <f>VLOOKUP($J$1,●請求台帳!$A:$U,19,0)</f>
        <v>1</v>
      </c>
      <c r="H24" s="28">
        <f>VLOOKUP($J$1,●請求台帳!$A:$U,20,0)</f>
        <v>901428</v>
      </c>
      <c r="I24" s="27">
        <f>G24*H24</f>
        <v>901428</v>
      </c>
    </row>
    <row r="25" spans="1:9" ht="18.75" customHeight="1" x14ac:dyDescent="0.15">
      <c r="A25" s="51"/>
      <c r="B25" s="51"/>
      <c r="C25" s="51"/>
      <c r="D25" s="51"/>
      <c r="E25" s="51"/>
      <c r="F25" s="52"/>
      <c r="G25" s="53" t="s">
        <v>7</v>
      </c>
      <c r="H25" s="54"/>
      <c r="I25" s="7">
        <f>SUM(I21:I24)</f>
        <v>3042513</v>
      </c>
    </row>
    <row r="26" spans="1:9" ht="18.75" customHeight="1" x14ac:dyDescent="0.15">
      <c r="A26" s="55"/>
      <c r="B26" s="55"/>
      <c r="C26" s="55"/>
      <c r="D26" s="55"/>
      <c r="E26" s="55"/>
      <c r="F26" s="56"/>
      <c r="G26" s="53" t="s">
        <v>8</v>
      </c>
      <c r="H26" s="54"/>
      <c r="I26" s="7">
        <f>I25*0.05</f>
        <v>152125.65</v>
      </c>
    </row>
    <row r="27" spans="1:9" ht="18.75" customHeight="1" x14ac:dyDescent="0.15">
      <c r="A27" s="10"/>
      <c r="B27" s="8"/>
      <c r="C27" s="8"/>
      <c r="D27" s="8"/>
      <c r="E27" s="8"/>
      <c r="F27" s="9"/>
      <c r="G27" s="49" t="s">
        <v>9</v>
      </c>
      <c r="H27" s="50"/>
      <c r="I27" s="11">
        <f>SUM(I25:I26)</f>
        <v>3194638.65</v>
      </c>
    </row>
    <row r="28" spans="1:9" ht="18.75" customHeight="1" x14ac:dyDescent="0.15">
      <c r="A28" s="10"/>
      <c r="B28" s="10"/>
      <c r="C28" s="10"/>
      <c r="D28" s="10"/>
      <c r="E28" s="10"/>
      <c r="F28" s="10"/>
      <c r="G28" s="10"/>
      <c r="H28" s="10"/>
      <c r="I28" s="12"/>
    </row>
    <row r="29" spans="1:9" ht="18.75" customHeight="1" x14ac:dyDescent="0.15">
      <c r="A29" s="10"/>
      <c r="B29" s="10"/>
      <c r="C29" s="10"/>
      <c r="D29" s="10"/>
      <c r="E29" s="10"/>
      <c r="F29" s="10"/>
      <c r="G29" s="10"/>
      <c r="H29" s="10"/>
      <c r="I29" s="12"/>
    </row>
    <row r="30" spans="1:9" ht="18.75" customHeight="1" x14ac:dyDescent="0.15">
      <c r="A30" s="10"/>
      <c r="B30" s="10"/>
      <c r="C30" s="10"/>
      <c r="D30" s="10"/>
      <c r="E30" s="10"/>
      <c r="F30" s="10"/>
      <c r="G30" s="10"/>
      <c r="H30" s="10"/>
      <c r="I30" s="12"/>
    </row>
    <row r="31" spans="1:9" ht="18.75" customHeight="1" x14ac:dyDescent="0.15">
      <c r="B31" s="10"/>
      <c r="C31" s="10"/>
      <c r="D31" s="10"/>
      <c r="E31" s="10"/>
      <c r="F31" s="10"/>
      <c r="G31" s="10"/>
      <c r="H31" s="10"/>
      <c r="I31" s="12"/>
    </row>
    <row r="32" spans="1:9" x14ac:dyDescent="0.15">
      <c r="A32" s="13" t="s">
        <v>12</v>
      </c>
    </row>
    <row r="33" spans="1:8" x14ac:dyDescent="0.15">
      <c r="A33" s="14" t="s">
        <v>34</v>
      </c>
    </row>
    <row r="34" spans="1:8" x14ac:dyDescent="0.15">
      <c r="A34" s="3" t="s">
        <v>27</v>
      </c>
    </row>
    <row r="36" spans="1:8" x14ac:dyDescent="0.15">
      <c r="A36" s="3" t="s">
        <v>10</v>
      </c>
    </row>
    <row r="37" spans="1:8" x14ac:dyDescent="0.15">
      <c r="A37" s="32">
        <f>VLOOKUP($J$1,●請求台帳!$A:$U,5,0)</f>
        <v>43783</v>
      </c>
      <c r="B37" s="33"/>
    </row>
    <row r="38" spans="1:8" x14ac:dyDescent="0.15">
      <c r="B38" s="13"/>
      <c r="C38" s="13"/>
      <c r="D38" s="13"/>
      <c r="E38" s="13"/>
      <c r="F38" s="13"/>
      <c r="G38" s="13"/>
      <c r="H38" s="13"/>
    </row>
    <row r="39" spans="1:8" x14ac:dyDescent="0.15">
      <c r="A39" s="3" t="s">
        <v>11</v>
      </c>
      <c r="B39" s="15"/>
      <c r="C39" s="16"/>
      <c r="D39" s="16"/>
      <c r="E39" s="16"/>
      <c r="F39" s="17"/>
      <c r="G39" s="16"/>
      <c r="H39" s="16"/>
    </row>
    <row r="40" spans="1:8" x14ac:dyDescent="0.15">
      <c r="A40" s="13"/>
    </row>
    <row r="44" spans="1:8" x14ac:dyDescent="0.15">
      <c r="A44" s="18"/>
    </row>
  </sheetData>
  <mergeCells count="6">
    <mergeCell ref="A20:F20"/>
    <mergeCell ref="G27:H27"/>
    <mergeCell ref="A25:F25"/>
    <mergeCell ref="G25:H25"/>
    <mergeCell ref="A26:F26"/>
    <mergeCell ref="G26:H26"/>
  </mergeCells>
  <phoneticPr fontId="3"/>
  <pageMargins left="0.7" right="0.7" top="0.75" bottom="0.75" header="0.3" footer="0.3"/>
  <pageSetup paperSize="9" scale="7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●Book役割</vt:lpstr>
      <vt:lpstr>●請求台帳</vt:lpstr>
      <vt:lpstr>●請求書</vt:lpstr>
      <vt:lpstr>●請求書!Print_Area</vt:lpstr>
      <vt:lpstr>●請求台帳!Print_Area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dc:creator>
  <cp:lastModifiedBy>Owner</cp:lastModifiedBy>
  <cp:lastPrinted>2021-08-06T05:54:48Z</cp:lastPrinted>
  <dcterms:created xsi:type="dcterms:W3CDTF">2011-11-02T07:15:30Z</dcterms:created>
  <dcterms:modified xsi:type="dcterms:W3CDTF">2021-08-06T05:56:32Z</dcterms:modified>
</cp:coreProperties>
</file>