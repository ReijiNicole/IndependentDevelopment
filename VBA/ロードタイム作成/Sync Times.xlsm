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Submit\VBA\"/>
    </mc:Choice>
  </mc:AlternateContent>
  <xr:revisionPtr revIDLastSave="0" documentId="13_ncr:1_{E8A65D15-E0CE-456E-B180-042B2B7A499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Book説明" sheetId="13" r:id="rId1"/>
    <sheet name="Enter Data" sheetId="11" r:id="rId2"/>
    <sheet name="DownSyncHistory" sheetId="7" r:id="rId3"/>
    <sheet name="ToReport" sheetId="12" r:id="rId4"/>
    <sheet name="List" sheetId="10" r:id="rId5"/>
  </sheets>
  <definedNames>
    <definedName name="_xlnm._FilterDatabase" localSheetId="2" hidden="1">DownSyncHistory!$A$1:$S$1</definedName>
    <definedName name="_xlnm._FilterDatabase" localSheetId="4" hidden="1">List!$C$1:$C$10</definedName>
    <definedName name="_xlnm._FilterDatabase" localSheetId="3" hidden="1">ToReport!$C$4:$E$26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2" l="1"/>
  <c r="E8" i="12" l="1"/>
  <c r="E12" i="12"/>
  <c r="E16" i="12"/>
  <c r="E20" i="12"/>
  <c r="E24" i="12"/>
  <c r="E28" i="12"/>
  <c r="E9" i="12"/>
  <c r="E13" i="12"/>
  <c r="E17" i="12"/>
  <c r="E21" i="12"/>
  <c r="E25" i="12"/>
  <c r="E6" i="12"/>
  <c r="E10" i="12"/>
  <c r="E14" i="12"/>
  <c r="E18" i="12"/>
  <c r="E22" i="12"/>
  <c r="E26" i="12"/>
  <c r="E7" i="12"/>
  <c r="E11" i="12"/>
  <c r="E15" i="12"/>
  <c r="E19" i="12"/>
  <c r="E23" i="12"/>
  <c r="E27" i="12"/>
  <c r="E5" i="12"/>
</calcChain>
</file>

<file path=xl/sharedStrings.xml><?xml version="1.0" encoding="utf-8"?>
<sst xmlns="http://schemas.openxmlformats.org/spreadsheetml/2006/main" count="315" uniqueCount="114">
  <si>
    <t>Fleet Data</t>
    <phoneticPr fontId="1"/>
  </si>
  <si>
    <t>Accessible Fleets</t>
  </si>
  <si>
    <t>Favorited Fleets</t>
  </si>
  <si>
    <t xml:space="preserve">Master Data </t>
    <phoneticPr fontId="1"/>
  </si>
  <si>
    <t>Category</t>
  </si>
  <si>
    <t>Section</t>
  </si>
  <si>
    <t>AppVersion</t>
  </si>
  <si>
    <t>UATorPROD</t>
  </si>
  <si>
    <t>OS</t>
  </si>
  <si>
    <t>iPad mini 4</t>
  </si>
  <si>
    <t>iPad mini 4</t>
    <phoneticPr fontId="1"/>
  </si>
  <si>
    <t>TestRunNumber</t>
  </si>
  <si>
    <t>DurationInSeconds</t>
  </si>
  <si>
    <t>OS Version</t>
  </si>
  <si>
    <t>Order</t>
    <phoneticPr fontId="1"/>
  </si>
  <si>
    <t>Translations</t>
  </si>
  <si>
    <t>Others</t>
  </si>
  <si>
    <t>Geographies</t>
  </si>
  <si>
    <t>Activities</t>
  </si>
  <si>
    <t>iPad Pro</t>
    <phoneticPr fontId="1"/>
  </si>
  <si>
    <t>Sync Location</t>
    <phoneticPr fontId="1"/>
  </si>
  <si>
    <t>iPad mini 5</t>
    <phoneticPr fontId="1"/>
  </si>
  <si>
    <t>Pixel 4</t>
    <phoneticPr fontId="1"/>
  </si>
  <si>
    <t>iPad Air 2</t>
    <phoneticPr fontId="1"/>
  </si>
  <si>
    <t>Download Mbps</t>
    <phoneticPr fontId="1"/>
  </si>
  <si>
    <t>Upload Mbps</t>
    <phoneticPr fontId="1"/>
  </si>
  <si>
    <t>Pins(ms)</t>
    <phoneticPr fontId="1"/>
  </si>
  <si>
    <t>Jitter(ms)</t>
    <phoneticPr fontId="1"/>
  </si>
  <si>
    <t>iPad mini</t>
    <phoneticPr fontId="1"/>
  </si>
  <si>
    <t>PROD</t>
  </si>
  <si>
    <t>iPad mini</t>
  </si>
  <si>
    <t xml:space="preserve">Master Data </t>
  </si>
  <si>
    <t>Size</t>
  </si>
  <si>
    <t>Inspections</t>
  </si>
  <si>
    <t>User</t>
  </si>
  <si>
    <t>iPhone 7 Plus</t>
  </si>
  <si>
    <t>iPhone XR</t>
  </si>
  <si>
    <t>Android</t>
  </si>
  <si>
    <t>Pixel 4</t>
  </si>
  <si>
    <t>Role</t>
    <phoneticPr fontId="1"/>
  </si>
  <si>
    <t>Device</t>
    <phoneticPr fontId="1"/>
  </si>
  <si>
    <t>Galaxy S8</t>
    <phoneticPr fontId="1"/>
  </si>
  <si>
    <t>Pixel 4a</t>
    <phoneticPr fontId="1"/>
  </si>
  <si>
    <t>OS Version</t>
    <phoneticPr fontId="1"/>
  </si>
  <si>
    <t>OS</t>
    <phoneticPr fontId="1"/>
  </si>
  <si>
    <t>iPad Pro</t>
  </si>
  <si>
    <t>Pixel 4a</t>
  </si>
  <si>
    <t>Galaxy Tab Active Pro</t>
  </si>
  <si>
    <t>Galaxy Tab Active Pro</t>
    <phoneticPr fontId="1"/>
  </si>
  <si>
    <t>Today:</t>
    <phoneticPr fontId="1"/>
  </si>
  <si>
    <t>Galaxy S8</t>
  </si>
  <si>
    <t>iPad Air 2</t>
  </si>
  <si>
    <t>iPad mini 5</t>
  </si>
  <si>
    <t>Master Data - 2</t>
  </si>
  <si>
    <t>Master Data - 2</t>
    <phoneticPr fontId="1"/>
  </si>
  <si>
    <t>Loading Master Data 47/47</t>
  </si>
  <si>
    <t>Loading Your Fleets 26/26</t>
  </si>
  <si>
    <t>Date</t>
    <phoneticPr fontId="1"/>
  </si>
  <si>
    <t xml:space="preserve"> Date</t>
    <phoneticPr fontId="1"/>
  </si>
  <si>
    <t>Galaxy Tab S6 Lite</t>
    <phoneticPr fontId="1"/>
  </si>
  <si>
    <t>Admin ********************</t>
  </si>
  <si>
    <t>Regional *****</t>
  </si>
  <si>
    <t>Admin ********</t>
  </si>
  <si>
    <t>Fleet ********</t>
  </si>
  <si>
    <t>Vehicle *****</t>
  </si>
  <si>
    <t>Location ********</t>
  </si>
  <si>
    <t>Tire **********</t>
  </si>
  <si>
    <t>Contacts</t>
  </si>
  <si>
    <t>Tires ******</t>
  </si>
  <si>
    <t>Vehicles ******</t>
  </si>
  <si>
    <t>New *************</t>
  </si>
  <si>
    <t>Maintenance ********</t>
  </si>
  <si>
    <t>Retread ********</t>
  </si>
  <si>
    <t>User ******************</t>
  </si>
  <si>
    <t>Initial *****</t>
  </si>
  <si>
    <t>Side ******************</t>
  </si>
  <si>
    <t>Side ************</t>
  </si>
  <si>
    <t>Refresh **************</t>
  </si>
  <si>
    <t>Setting **********</t>
  </si>
  <si>
    <t>1.0.0</t>
  </si>
  <si>
    <t>Global *************</t>
    <phoneticPr fontId="1"/>
  </si>
  <si>
    <t>Other</t>
    <phoneticPr fontId="1"/>
  </si>
  <si>
    <t>User *************************</t>
    <phoneticPr fontId="1"/>
  </si>
  <si>
    <t>Durations(seconds)</t>
    <phoneticPr fontId="1"/>
  </si>
  <si>
    <t>Global ************* a</t>
    <phoneticPr fontId="1"/>
  </si>
  <si>
    <t>各シートの役割</t>
    <rPh sb="0" eb="1">
      <t>カク</t>
    </rPh>
    <rPh sb="5" eb="7">
      <t>ヤクワリ</t>
    </rPh>
    <phoneticPr fontId="1"/>
  </si>
  <si>
    <t>シート：Enter Data</t>
  </si>
  <si>
    <t>シート：DownSyncHistory</t>
  </si>
  <si>
    <t>シート：ToReport</t>
  </si>
  <si>
    <t>シート：List</t>
  </si>
  <si>
    <t>開発中のスマホアプリにて、ロードが発生する箇所のロード時間を測定するマクロを作成しました。</t>
    <rPh sb="0" eb="2">
      <t>カイハツ</t>
    </rPh>
    <rPh sb="2" eb="3">
      <t>チュウ</t>
    </rPh>
    <rPh sb="17" eb="19">
      <t>ハッセイ</t>
    </rPh>
    <rPh sb="21" eb="23">
      <t>カショ</t>
    </rPh>
    <rPh sb="27" eb="29">
      <t>ジカン</t>
    </rPh>
    <rPh sb="30" eb="32">
      <t>ソクテイ</t>
    </rPh>
    <rPh sb="38" eb="40">
      <t>サクセイ</t>
    </rPh>
    <phoneticPr fontId="1"/>
  </si>
  <si>
    <t>各シートについての役割をこちらに記載します。</t>
    <rPh sb="0" eb="1">
      <t>カク</t>
    </rPh>
    <rPh sb="9" eb="11">
      <t>ヤクワリ</t>
    </rPh>
    <rPh sb="16" eb="18">
      <t>キサイ</t>
    </rPh>
    <phoneticPr fontId="1"/>
  </si>
  <si>
    <t>ロード時間を測定するシートです。</t>
    <rPh sb="3" eb="5">
      <t>ジカン</t>
    </rPh>
    <rPh sb="6" eb="8">
      <t>ソクテイ</t>
    </rPh>
    <phoneticPr fontId="1"/>
  </si>
  <si>
    <t>"Enter The Data" "Insert To History"ボタンが二つあります。</t>
    <rPh sb="40" eb="41">
      <t>フタ</t>
    </rPh>
    <phoneticPr fontId="1"/>
  </si>
  <si>
    <t>"Enter The Data"</t>
    <phoneticPr fontId="1"/>
  </si>
  <si>
    <t>"Insert To History"</t>
    <phoneticPr fontId="1"/>
  </si>
  <si>
    <t xml:space="preserve"> - ロード時間を測定し、詳細情報を入れることができます。</t>
    <phoneticPr fontId="1"/>
  </si>
  <si>
    <t>Enter The Information</t>
    <phoneticPr fontId="1"/>
  </si>
  <si>
    <t>AllDelete</t>
    <phoneticPr fontId="1"/>
  </si>
  <si>
    <t>LapTime</t>
    <phoneticPr fontId="1"/>
  </si>
  <si>
    <t>Delete</t>
    <phoneticPr fontId="1"/>
  </si>
  <si>
    <t>シートに入力された、情報を一括削除します。</t>
    <rPh sb="4" eb="6">
      <t>ニュウリョク</t>
    </rPh>
    <rPh sb="10" eb="12">
      <t>ジョウホウ</t>
    </rPh>
    <rPh sb="13" eb="15">
      <t>イッカツ</t>
    </rPh>
    <rPh sb="15" eb="17">
      <t>サクジョ</t>
    </rPh>
    <phoneticPr fontId="1"/>
  </si>
  <si>
    <t>Go</t>
    <phoneticPr fontId="1"/>
  </si>
  <si>
    <t>シートに入力された全LapTimeが削除されます。</t>
    <rPh sb="4" eb="6">
      <t>ニュウリョク</t>
    </rPh>
    <rPh sb="9" eb="10">
      <t>ゼン</t>
    </rPh>
    <rPh sb="18" eb="20">
      <t>サクジョ</t>
    </rPh>
    <phoneticPr fontId="1"/>
  </si>
  <si>
    <t>Enter the Information をクリックした後にロード時間を計測することができます。</t>
    <rPh sb="29" eb="30">
      <t>アト</t>
    </rPh>
    <rPh sb="34" eb="36">
      <t>ジカン</t>
    </rPh>
    <rPh sb="37" eb="39">
      <t>ケイソク</t>
    </rPh>
    <phoneticPr fontId="1"/>
  </si>
  <si>
    <t>今まで計測をしてきたデータが蓄積されています。</t>
    <rPh sb="0" eb="1">
      <t>イマ</t>
    </rPh>
    <rPh sb="3" eb="5">
      <t>ケイソク</t>
    </rPh>
    <rPh sb="14" eb="16">
      <t>チクセキ</t>
    </rPh>
    <phoneticPr fontId="1"/>
  </si>
  <si>
    <t>今日日付の結果を簡易的に報告できるようにまとめられます。</t>
    <rPh sb="0" eb="4">
      <t>キョウヒヅケ</t>
    </rPh>
    <rPh sb="5" eb="7">
      <t>ケッカ</t>
    </rPh>
    <rPh sb="8" eb="11">
      <t>カンイテキ</t>
    </rPh>
    <rPh sb="12" eb="14">
      <t>ホウコク</t>
    </rPh>
    <phoneticPr fontId="1"/>
  </si>
  <si>
    <t>シート：EnterDataのボタン：Enter The Data内のフィールドのリスト参照です。追加、削除によりリストを更新できます。</t>
    <rPh sb="32" eb="33">
      <t>ナイ</t>
    </rPh>
    <rPh sb="43" eb="45">
      <t>サンショウ</t>
    </rPh>
    <rPh sb="48" eb="50">
      <t>ツイカ</t>
    </rPh>
    <rPh sb="51" eb="53">
      <t>サクジョ</t>
    </rPh>
    <rPh sb="60" eb="62">
      <t>コウシン</t>
    </rPh>
    <phoneticPr fontId="1"/>
  </si>
  <si>
    <t>測定を完了した後に有効になり、シート：DownSyncHistoryの最下部へ挿入します。</t>
    <rPh sb="0" eb="2">
      <t>ソクテイ</t>
    </rPh>
    <rPh sb="3" eb="5">
      <t>カンリョウ</t>
    </rPh>
    <rPh sb="7" eb="8">
      <t>アト</t>
    </rPh>
    <rPh sb="9" eb="11">
      <t>ユウコウ</t>
    </rPh>
    <rPh sb="35" eb="38">
      <t>サイカブ</t>
    </rPh>
    <rPh sb="39" eb="41">
      <t>ソウニュウ</t>
    </rPh>
    <phoneticPr fontId="1"/>
  </si>
  <si>
    <t>フィールドに入力した後に有効になり、入力した詳細情報をシートに入力します。</t>
    <rPh sb="6" eb="8">
      <t>ニュウリョク</t>
    </rPh>
    <rPh sb="10" eb="11">
      <t>アト</t>
    </rPh>
    <rPh sb="12" eb="14">
      <t>ユウコウ</t>
    </rPh>
    <rPh sb="18" eb="20">
      <t>ニュウリョク</t>
    </rPh>
    <rPh sb="22" eb="26">
      <t>ショウサイジョウホウ</t>
    </rPh>
    <rPh sb="31" eb="33">
      <t>ニュウリョク</t>
    </rPh>
    <phoneticPr fontId="1"/>
  </si>
  <si>
    <t>チームで共有し、活用しています。</t>
    <rPh sb="4" eb="6">
      <t>キョウユウ</t>
    </rPh>
    <rPh sb="8" eb="10">
      <t>カツヨウ</t>
    </rPh>
    <phoneticPr fontId="1"/>
  </si>
  <si>
    <t>"Enter The Data" Window 内 ボタン役割</t>
    <rPh sb="24" eb="25">
      <t>ナイ</t>
    </rPh>
    <rPh sb="29" eb="31">
      <t>ヤクワリ</t>
    </rPh>
    <phoneticPr fontId="1"/>
  </si>
  <si>
    <t>測定後、本日分の結果が自動で入力されます。</t>
    <rPh sb="0" eb="3">
      <t>ソクテイゴ</t>
    </rPh>
    <rPh sb="4" eb="6">
      <t>ホンジツ</t>
    </rPh>
    <rPh sb="6" eb="7">
      <t>ブン</t>
    </rPh>
    <rPh sb="8" eb="10">
      <t>ケッカ</t>
    </rPh>
    <rPh sb="11" eb="13">
      <t>ジドウ</t>
    </rPh>
    <rPh sb="14" eb="16">
      <t>ニュウリョク</t>
    </rPh>
    <phoneticPr fontId="1"/>
  </si>
  <si>
    <t>タイムが計測され、時間を図ることができます。クリックをする度に、O列へ入力がされます。</t>
    <rPh sb="4" eb="6">
      <t>ケイソク</t>
    </rPh>
    <rPh sb="9" eb="11">
      <t>ジカン</t>
    </rPh>
    <rPh sb="12" eb="13">
      <t>ハカ</t>
    </rPh>
    <rPh sb="29" eb="30">
      <t>タビ</t>
    </rPh>
    <rPh sb="33" eb="34">
      <t>レツ</t>
    </rPh>
    <rPh sb="35" eb="37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</si>
</sst>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  <font>
      <sz val="9"/>
      <color theme="1"/>
      <name val="MS 明朝"/>
      <family val="3"/>
      <charset val="128"/>
    </font>
    <font>
      <b/>
      <i/>
      <sz val="9"/>
      <color theme="1"/>
      <name val="MS 明朝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3" fillId="2" borderId="0" xfId="0" applyFont="1" applyFill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3" fillId="2" borderId="0" xfId="0" applyFont="1" applyFill="1" applyProtection="1">
      <alignment vertical="center"/>
    </xf>
    <xf numFmtId="0" fontId="4" fillId="2" borderId="1" xfId="0" applyFont="1" applyFill="1" applyBorder="1" applyProtection="1">
      <alignment vertical="center"/>
    </xf>
    <xf numFmtId="0" fontId="4" fillId="2" borderId="0" xfId="0" applyFont="1" applyFill="1" applyProtection="1">
      <alignment vertical="center"/>
    </xf>
    <xf numFmtId="0" fontId="3" fillId="6" borderId="0" xfId="0" applyFont="1" applyFill="1" applyAlignment="1">
      <alignment horizontal="left" vertical="center"/>
    </xf>
    <xf numFmtId="0" fontId="3" fillId="4" borderId="0" xfId="0" applyFont="1" applyFill="1" applyAlignment="1">
      <alignment vertical="center"/>
    </xf>
    <xf numFmtId="0" fontId="3" fillId="3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2" borderId="0" xfId="0" applyFont="1" applyFill="1" applyProtection="1">
      <alignment vertical="center"/>
      <protection locked="0"/>
    </xf>
    <xf numFmtId="0" fontId="3" fillId="2" borderId="0" xfId="0" applyFont="1" applyFill="1" applyAlignment="1" applyProtection="1">
      <alignment horizontal="left" vertical="center"/>
    </xf>
    <xf numFmtId="0" fontId="3" fillId="2" borderId="0" xfId="0" applyNumberFormat="1" applyFont="1" applyFill="1" applyAlignment="1" applyProtection="1">
      <alignment horizontal="left" vertical="center"/>
    </xf>
    <xf numFmtId="14" fontId="3" fillId="0" borderId="0" xfId="0" applyNumberFormat="1" applyFo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38" fontId="3" fillId="5" borderId="0" xfId="0" applyNumberFormat="1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</xf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 applyProtection="1">
      <alignment horizontal="right" vertical="center"/>
    </xf>
    <xf numFmtId="0" fontId="3" fillId="0" borderId="0" xfId="0" applyFont="1" applyFill="1" applyProtection="1">
      <alignment vertical="center"/>
      <protection locked="0"/>
    </xf>
    <xf numFmtId="14" fontId="3" fillId="0" borderId="0" xfId="0" applyNumberFormat="1" applyFont="1" applyFill="1">
      <alignment vertical="center"/>
    </xf>
    <xf numFmtId="0" fontId="3" fillId="0" borderId="0" xfId="0" applyNumberFormat="1" applyFont="1" applyFill="1" applyAlignment="1">
      <alignment horizontal="center" vertical="center"/>
    </xf>
    <xf numFmtId="0" fontId="3" fillId="2" borderId="2" xfId="0" applyFont="1" applyFill="1" applyBorder="1" applyAlignment="1" applyProtection="1">
      <alignment horizontal="left" vertical="center"/>
      <protection locked="0"/>
    </xf>
    <xf numFmtId="38" fontId="3" fillId="5" borderId="0" xfId="0" applyNumberFormat="1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3" fillId="0" borderId="0" xfId="0" applyFont="1" applyAlignment="1">
      <alignment horizontal="center" vertical="center" wrapText="1"/>
    </xf>
    <xf numFmtId="0" fontId="0" fillId="7" borderId="3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S 明朝"/>
        <family val="3"/>
        <charset val="128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S 明朝"/>
        <family val="3"/>
        <charset val="128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S 明朝"/>
        <family val="3"/>
        <charset val="128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504825</xdr:colOff>
          <xdr:row>22</xdr:row>
          <xdr:rowOff>76200</xdr:rowOff>
        </xdr:from>
        <xdr:to>
          <xdr:col>3</xdr:col>
          <xdr:colOff>447675</xdr:colOff>
          <xdr:row>29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Enter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22</xdr:row>
          <xdr:rowOff>76200</xdr:rowOff>
        </xdr:from>
        <xdr:to>
          <xdr:col>7</xdr:col>
          <xdr:colOff>428625</xdr:colOff>
          <xdr:row>29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 To History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151944</xdr:colOff>
      <xdr:row>22</xdr:row>
      <xdr:rowOff>66675</xdr:rowOff>
    </xdr:from>
    <xdr:to>
      <xdr:col>15</xdr:col>
      <xdr:colOff>390524</xdr:colOff>
      <xdr:row>38</xdr:row>
      <xdr:rowOff>112939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286169" y="3324225"/>
          <a:ext cx="5753555" cy="233226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Buttons</a:t>
          </a:r>
        </a:p>
        <a:p>
          <a:pPr algn="l"/>
          <a:r>
            <a:rPr kumimoji="1" lang="ja-JP" altLang="en-US" sz="1100" b="1" i="1"/>
            <a:t>・</a:t>
          </a:r>
          <a:r>
            <a:rPr kumimoji="1" lang="en-US" altLang="ja-JP" sz="1100" b="1" i="1"/>
            <a:t>Enter The Data </a:t>
          </a:r>
        </a:p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It</a:t>
          </a:r>
          <a:r>
            <a:rPr kumimoji="1" lang="en-US" altLang="ja-JP" sz="1100" baseline="0"/>
            <a:t> helps you to type and time Sync Data.</a:t>
          </a:r>
        </a:p>
        <a:p>
          <a:pPr algn="l"/>
          <a:r>
            <a:rPr kumimoji="1" lang="ja-JP" altLang="en-US" sz="1100" baseline="0"/>
            <a:t>　</a:t>
          </a:r>
          <a:r>
            <a:rPr kumimoji="1" lang="en-US" altLang="ja-JP" sz="1100" baseline="0"/>
            <a:t>If you want to select other from list, you can add the any selection in the sheets of List.</a:t>
          </a:r>
        </a:p>
        <a:p>
          <a:pPr algn="l"/>
          <a:r>
            <a:rPr kumimoji="1" lang="ja-JP" altLang="en-US" sz="1100" baseline="0">
              <a:solidFill>
                <a:srgbClr val="FF0000"/>
              </a:solidFill>
            </a:rPr>
            <a:t>　</a:t>
          </a:r>
          <a:r>
            <a:rPr kumimoji="1" lang="en-US" altLang="ja-JP" sz="1100" baseline="0">
              <a:solidFill>
                <a:srgbClr val="FF0000"/>
              </a:solidFill>
            </a:rPr>
            <a:t>※This book will crash if you click right top 'X' </a:t>
          </a:r>
          <a:r>
            <a:rPr kumimoji="1" lang="en-US" altLang="ja-JP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window </a:t>
          </a:r>
          <a:r>
            <a:rPr kumimoji="1" lang="en-US" altLang="ja-JP" sz="1100" baseline="0">
              <a:solidFill>
                <a:srgbClr val="FF0000"/>
              </a:solidFill>
            </a:rPr>
            <a:t>button</a:t>
          </a:r>
        </a:p>
        <a:p>
          <a:pPr algn="l"/>
          <a:r>
            <a:rPr kumimoji="1" lang="ja-JP" altLang="en-US" sz="1100" baseline="0">
              <a:solidFill>
                <a:srgbClr val="FF0000"/>
              </a:solidFill>
            </a:rPr>
            <a:t>          </a:t>
          </a:r>
          <a:r>
            <a:rPr kumimoji="1" lang="en-US" altLang="ja-JP" sz="1100" baseline="0">
              <a:solidFill>
                <a:srgbClr val="FF0000"/>
              </a:solidFill>
            </a:rPr>
            <a:t>Use Button 'Close'</a:t>
          </a:r>
        </a:p>
        <a:p>
          <a:pPr algn="l"/>
          <a:r>
            <a:rPr kumimoji="1" lang="ja-JP" altLang="en-US" sz="1100" baseline="0">
              <a:solidFill>
                <a:srgbClr val="FF0000"/>
              </a:solidFill>
            </a:rPr>
            <a:t>　</a:t>
          </a:r>
          <a:r>
            <a:rPr kumimoji="1" lang="en-US" altLang="ja-JP" sz="1100" baseline="0">
              <a:solidFill>
                <a:srgbClr val="FF0000"/>
              </a:solidFill>
            </a:rPr>
            <a:t>※The Timer is only working on Windows.</a:t>
          </a:r>
        </a:p>
        <a:p>
          <a:pPr algn="l"/>
          <a:r>
            <a:rPr kumimoji="1" lang="ja-JP" altLang="ja-JP" sz="1100" b="1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 b="1" i="1"/>
            <a:t>Insert To History</a:t>
          </a:r>
        </a:p>
        <a:p>
          <a:pPr algn="l"/>
          <a:r>
            <a:rPr kumimoji="1" lang="en-US" altLang="ja-JP" sz="1100"/>
            <a:t>    If click this</a:t>
          </a:r>
          <a:r>
            <a:rPr kumimoji="1" lang="en-US" altLang="ja-JP" sz="1100" baseline="0"/>
            <a:t> button, Those data move to "DownSyncHistory".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414337</xdr:colOff>
      <xdr:row>28</xdr:row>
      <xdr:rowOff>119063</xdr:rowOff>
    </xdr:from>
    <xdr:to>
      <xdr:col>2</xdr:col>
      <xdr:colOff>487364</xdr:colOff>
      <xdr:row>45</xdr:row>
      <xdr:rowOff>138113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4337" y="3919538"/>
          <a:ext cx="3762377" cy="23241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20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Add List.</a:t>
          </a: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Can Add The Selection to the bottom in column a-c.</a:t>
          </a:r>
          <a:endParaRPr lang="ja-JP" altLang="ja-JP">
            <a:effectLst/>
          </a:endParaRPr>
        </a:p>
      </xdr:txBody>
    </xdr:sp>
    <xdr:clientData/>
  </xdr:twoCellAnchor>
  <xdr:twoCellAnchor editAs="absolute">
    <xdr:from>
      <xdr:col>2</xdr:col>
      <xdr:colOff>1406527</xdr:colOff>
      <xdr:row>27</xdr:row>
      <xdr:rowOff>71436</xdr:rowOff>
    </xdr:from>
    <xdr:to>
      <xdr:col>5</xdr:col>
      <xdr:colOff>903289</xdr:colOff>
      <xdr:row>40</xdr:row>
      <xdr:rowOff>76200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095877" y="3738561"/>
          <a:ext cx="2695575" cy="176688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ja-JP" sz="1700">
              <a:solidFill>
                <a:schemeClr val="accent2">
                  <a:lumMod val="75000"/>
                </a:schemeClr>
              </a:solidFill>
              <a:effectLst/>
            </a:rPr>
            <a:t>Add</a:t>
          </a:r>
          <a:endParaRPr lang="en-US" altLang="ja-JP" sz="1700" baseline="0">
            <a:solidFill>
              <a:schemeClr val="accent2">
                <a:lumMod val="75000"/>
              </a:schemeClr>
            </a:solidFill>
            <a:effectLst/>
          </a:endParaRPr>
        </a:p>
        <a:p>
          <a:r>
            <a:rPr lang="en-US" altLang="ja-JP" sz="1700">
              <a:solidFill>
                <a:schemeClr val="accent2">
                  <a:lumMod val="75000"/>
                </a:schemeClr>
              </a:solidFill>
              <a:effectLst/>
            </a:rPr>
            <a:t>Category </a:t>
          </a:r>
          <a:r>
            <a:rPr lang="ja-JP" altLang="en-US" sz="1700">
              <a:solidFill>
                <a:schemeClr val="accent2">
                  <a:lumMod val="75000"/>
                </a:schemeClr>
              </a:solidFill>
              <a:effectLst/>
            </a:rPr>
            <a:t>①</a:t>
          </a:r>
          <a:r>
            <a:rPr lang="en-US" altLang="ja-JP" sz="1700" baseline="0">
              <a:solidFill>
                <a:schemeClr val="accent2">
                  <a:lumMod val="75000"/>
                </a:schemeClr>
              </a:solidFill>
              <a:effectLst/>
            </a:rPr>
            <a:t>,</a:t>
          </a:r>
        </a:p>
        <a:p>
          <a:r>
            <a:rPr lang="en-US" altLang="ja-JP" baseline="0">
              <a:effectLst/>
            </a:rPr>
            <a:t>You can add the categry to the bottom In Column E.</a:t>
          </a:r>
        </a:p>
      </xdr:txBody>
    </xdr:sp>
    <xdr:clientData/>
  </xdr:twoCellAnchor>
  <xdr:twoCellAnchor editAs="absolute">
    <xdr:from>
      <xdr:col>6</xdr:col>
      <xdr:colOff>1246187</xdr:colOff>
      <xdr:row>27</xdr:row>
      <xdr:rowOff>9526</xdr:rowOff>
    </xdr:from>
    <xdr:to>
      <xdr:col>8</xdr:col>
      <xdr:colOff>1255712</xdr:colOff>
      <xdr:row>41</xdr:row>
      <xdr:rowOff>133351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313987" y="3867151"/>
          <a:ext cx="3390900" cy="2124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altLang="ja-JP" sz="17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Add</a:t>
          </a:r>
          <a:r>
            <a:rPr lang="en-US" altLang="ja-JP" sz="17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7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Category </a:t>
          </a:r>
          <a:r>
            <a:rPr lang="ja-JP" altLang="en-US" sz="170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sz="1700" baseline="0">
              <a:solidFill>
                <a:schemeClr val="accent2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,</a:t>
          </a:r>
          <a:endParaRPr lang="ja-JP" altLang="ja-JP" sz="1700">
            <a:solidFill>
              <a:schemeClr val="accent2">
                <a:lumMod val="75000"/>
              </a:schemeClr>
            </a:solidFill>
            <a:effectLst/>
          </a:endParaRPr>
        </a:p>
        <a:p>
          <a:r>
            <a:rPr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After </a:t>
          </a:r>
          <a:r>
            <a:rPr lang="ja-JP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Please add the category's title and steps to the right like columns F, G.</a:t>
          </a:r>
          <a:endParaRPr lang="ja-JP" altLang="ja-JP">
            <a:effectLst/>
          </a:endParaRPr>
        </a:p>
      </xdr:txBody>
    </xdr:sp>
    <xdr:clientData/>
  </xdr:twoCellAnchor>
  <xdr:twoCellAnchor editAs="absolute">
    <xdr:from>
      <xdr:col>8</xdr:col>
      <xdr:colOff>846137</xdr:colOff>
      <xdr:row>5</xdr:row>
      <xdr:rowOff>57150</xdr:rowOff>
    </xdr:from>
    <xdr:to>
      <xdr:col>9</xdr:col>
      <xdr:colOff>665162</xdr:colOff>
      <xdr:row>17</xdr:row>
      <xdr:rowOff>82550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3304837" y="771525"/>
          <a:ext cx="1555750" cy="1739900"/>
        </a:xfrm>
        <a:prstGeom prst="rect">
          <a:avLst/>
        </a:prstGeom>
        <a:solidFill>
          <a:schemeClr val="accent1">
            <a:lumMod val="50000"/>
            <a:alpha val="25000"/>
          </a:schemeClr>
        </a:solidFill>
        <a:ln w="9525" cmpd="sng">
          <a:solidFill>
            <a:schemeClr val="lt1">
              <a:shade val="50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Title</a:t>
          </a:r>
          <a:r>
            <a:rPr kumimoji="1" lang="en-US" altLang="ja-JP" sz="1100" baseline="0"/>
            <a:t>... at row 1</a:t>
          </a:r>
        </a:p>
        <a:p>
          <a:r>
            <a:rPr kumimoji="1" lang="en-US" altLang="ja-JP" sz="1100" baseline="0"/>
            <a:t>Steps1</a:t>
          </a:r>
          <a:r>
            <a:rPr kumimoji="1" lang="ja-JP" altLang="en-US" sz="1100" baseline="0"/>
            <a:t>↓</a:t>
          </a:r>
          <a:r>
            <a:rPr kumimoji="1" lang="en-US" altLang="ja-JP" sz="1100" baseline="0"/>
            <a:t> from row 2</a:t>
          </a:r>
        </a:p>
        <a:p>
          <a:r>
            <a:rPr kumimoji="1" lang="en-US" altLang="ja-JP" sz="1100" baseline="0"/>
            <a:t>Steps2</a:t>
          </a:r>
          <a:r>
            <a:rPr kumimoji="1" lang="ja-JP" altLang="en-US" sz="1100" baseline="0"/>
            <a:t>↓</a:t>
          </a:r>
          <a:endParaRPr kumimoji="1" lang="en-US" altLang="ja-JP" sz="1100" baseline="0"/>
        </a:p>
        <a:p>
          <a:r>
            <a:rPr kumimoji="1" lang="en-US" altLang="ja-JP" sz="1100" baseline="0"/>
            <a:t>Steps3</a:t>
          </a:r>
          <a:r>
            <a:rPr kumimoji="1" lang="ja-JP" altLang="en-US" sz="1100" baseline="0"/>
            <a:t>↓</a:t>
          </a:r>
          <a:endParaRPr kumimoji="1" lang="en-US" altLang="ja-JP" sz="1100" baseline="0"/>
        </a:p>
        <a:p>
          <a:r>
            <a:rPr kumimoji="1" lang="en-US" altLang="ja-JP" sz="1100" baseline="0"/>
            <a:t>..</a:t>
          </a:r>
          <a:r>
            <a:rPr kumimoji="1" lang="ja-JP" altLang="en-US" sz="1100" baseline="0"/>
            <a:t>↓</a:t>
          </a:r>
          <a:endParaRPr kumimoji="1" lang="en-US" altLang="ja-JP" sz="1100" baseline="0"/>
        </a:p>
        <a:p>
          <a:r>
            <a:rPr kumimoji="1" lang="en-US" altLang="ja-JP" sz="1100" baseline="0"/>
            <a:t>..</a:t>
          </a:r>
          <a:r>
            <a:rPr kumimoji="1" lang="ja-JP" altLang="en-US" sz="1100" baseline="0"/>
            <a:t>↓</a:t>
          </a:r>
          <a:endParaRPr kumimoji="1" lang="ja-JP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9EFE1-0761-4B17-9540-DB089676E0BF}" name="テーブル1" displayName="テーブル1" ref="C4:E28" totalsRowShown="0">
  <autoFilter ref="C4:E28" xr:uid="{37E9EFE1-0761-4B17-9540-DB089676E0BF}"/>
  <tableColumns count="3">
    <tableColumn id="1" xr3:uid="{6118F7F6-462F-42B2-B9A9-484DF6F44A8E}" name="Device" dataDxfId="2"/>
    <tableColumn id="2" xr3:uid="{98F4E27E-D0AA-4D43-BCF4-720E8D38DF55}" name="Role" dataDxfId="1"/>
    <tableColumn id="3" xr3:uid="{E3C76396-7E24-4D7A-8F17-24B39BF52159}" name="Durations(seconds)" dataDxfId="0">
      <calculatedColumnFormula>IF(SUMIFS(DownSyncHistory!O:O,DownSyncHistory!B:B,ToReport!$B$2,DownSyncHistory!K:K,ToReport!$C5,DownSyncHistory!F:F,ToReport!$D5)=0,"-",SUMIFS(DownSyncHistory!O:O,DownSyncHistory!B:B,ToReport!$B$2,DownSyncHistory!K:K,ToReport!$C5,DownSyncHistory!F:F,ToReport!$D5)&amp;"s")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E646F-5667-4B21-8010-6DBFCBA2F49D}">
  <sheetPr codeName="Sheet2"/>
  <dimension ref="B1:D50"/>
  <sheetViews>
    <sheetView showGridLines="0" tabSelected="1" zoomScaleNormal="100" workbookViewId="0"/>
  </sheetViews>
  <sheetFormatPr defaultColWidth="2.5" defaultRowHeight="13.5"/>
  <cols>
    <col min="1" max="16384" width="2.5" style="34"/>
  </cols>
  <sheetData>
    <row r="1" spans="2:3" s="32" customFormat="1" ht="14.25" thickBot="1">
      <c r="B1" s="32" t="s">
        <v>85</v>
      </c>
    </row>
    <row r="2" spans="2:3" s="33" customFormat="1" ht="14.25" thickTop="1"/>
    <row r="3" spans="2:3" s="33" customFormat="1">
      <c r="B3" s="33" t="s">
        <v>90</v>
      </c>
    </row>
    <row r="4" spans="2:3" s="33" customFormat="1">
      <c r="B4" s="33" t="s">
        <v>110</v>
      </c>
    </row>
    <row r="5" spans="2:3" s="33" customFormat="1">
      <c r="B5" s="33" t="s">
        <v>91</v>
      </c>
    </row>
    <row r="6" spans="2:3" s="33" customFormat="1"/>
    <row r="8" spans="2:3" s="32" customFormat="1" ht="14.25" thickBot="1">
      <c r="B8" s="32" t="s">
        <v>86</v>
      </c>
    </row>
    <row r="9" spans="2:3" s="33" customFormat="1" ht="14.25" thickTop="1"/>
    <row r="10" spans="2:3" s="33" customFormat="1">
      <c r="B10" s="33" t="s">
        <v>92</v>
      </c>
    </row>
    <row r="11" spans="2:3" s="33" customFormat="1">
      <c r="C11" s="33" t="s">
        <v>93</v>
      </c>
    </row>
    <row r="12" spans="2:3" s="33" customFormat="1"/>
    <row r="13" spans="2:3" s="33" customFormat="1">
      <c r="B13" s="33" t="s">
        <v>94</v>
      </c>
    </row>
    <row r="14" spans="2:3" s="33" customFormat="1">
      <c r="C14" s="33" t="s">
        <v>96</v>
      </c>
    </row>
    <row r="15" spans="2:3" s="33" customFormat="1"/>
    <row r="16" spans="2:3" s="33" customFormat="1">
      <c r="B16" s="33" t="s">
        <v>111</v>
      </c>
    </row>
    <row r="17" spans="2:4" s="33" customFormat="1">
      <c r="C17" s="33" t="s">
        <v>97</v>
      </c>
    </row>
    <row r="18" spans="2:4" s="33" customFormat="1">
      <c r="D18" s="33" t="s">
        <v>109</v>
      </c>
    </row>
    <row r="19" spans="2:4" s="33" customFormat="1"/>
    <row r="20" spans="2:4" s="33" customFormat="1">
      <c r="C20" s="33" t="s">
        <v>98</v>
      </c>
    </row>
    <row r="21" spans="2:4" s="33" customFormat="1">
      <c r="D21" s="33" t="s">
        <v>101</v>
      </c>
    </row>
    <row r="22" spans="2:4" s="33" customFormat="1"/>
    <row r="23" spans="2:4" s="33" customFormat="1">
      <c r="C23" s="33" t="s">
        <v>99</v>
      </c>
    </row>
    <row r="24" spans="2:4" s="33" customFormat="1">
      <c r="D24" s="33" t="s">
        <v>104</v>
      </c>
    </row>
    <row r="25" spans="2:4" s="33" customFormat="1"/>
    <row r="26" spans="2:4" s="33" customFormat="1">
      <c r="C26" s="33" t="s">
        <v>100</v>
      </c>
    </row>
    <row r="27" spans="2:4" s="33" customFormat="1">
      <c r="D27" s="33" t="s">
        <v>103</v>
      </c>
    </row>
    <row r="28" spans="2:4" s="33" customFormat="1"/>
    <row r="29" spans="2:4" s="33" customFormat="1">
      <c r="C29" s="33" t="s">
        <v>102</v>
      </c>
    </row>
    <row r="30" spans="2:4" s="33" customFormat="1">
      <c r="D30" s="33" t="s">
        <v>113</v>
      </c>
    </row>
    <row r="31" spans="2:4" s="33" customFormat="1"/>
    <row r="32" spans="2:4">
      <c r="B32" s="34" t="s">
        <v>95</v>
      </c>
    </row>
    <row r="33" spans="2:3">
      <c r="C33" s="34" t="s">
        <v>108</v>
      </c>
    </row>
    <row r="36" spans="2:3" s="32" customFormat="1" ht="14.25" thickBot="1">
      <c r="B36" s="32" t="s">
        <v>87</v>
      </c>
    </row>
    <row r="37" spans="2:3" s="33" customFormat="1" ht="14.25" thickTop="1"/>
    <row r="38" spans="2:3" s="33" customFormat="1">
      <c r="B38" s="33" t="s">
        <v>105</v>
      </c>
    </row>
    <row r="39" spans="2:3" s="33" customFormat="1"/>
    <row r="40" spans="2:3" s="33" customFormat="1"/>
    <row r="41" spans="2:3" s="32" customFormat="1" ht="14.25" thickBot="1">
      <c r="B41" s="32" t="s">
        <v>88</v>
      </c>
    </row>
    <row r="42" spans="2:3" s="33" customFormat="1" ht="14.25" thickTop="1"/>
    <row r="43" spans="2:3" s="33" customFormat="1">
      <c r="B43" s="33" t="s">
        <v>106</v>
      </c>
    </row>
    <row r="44" spans="2:3" s="33" customFormat="1">
      <c r="B44" s="33" t="s">
        <v>112</v>
      </c>
    </row>
    <row r="45" spans="2:3" s="33" customFormat="1"/>
    <row r="47" spans="2:3" s="32" customFormat="1" ht="14.25" thickBot="1">
      <c r="B47" s="32" t="s">
        <v>89</v>
      </c>
    </row>
    <row r="48" spans="2:3" s="33" customFormat="1" ht="14.25" thickTop="1"/>
    <row r="49" spans="2:2" s="33" customFormat="1">
      <c r="B49" s="33" t="s">
        <v>107</v>
      </c>
    </row>
    <row r="50" spans="2:2" s="33" customFormat="1"/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DB254-6B4E-442F-A697-1462584808D3}">
  <sheetPr codeName="Sheet5">
    <tabColor theme="9" tint="0.39997558519241921"/>
  </sheetPr>
  <dimension ref="A1:S1"/>
  <sheetViews>
    <sheetView zoomScaleNormal="100" workbookViewId="0"/>
  </sheetViews>
  <sheetFormatPr defaultColWidth="8.75" defaultRowHeight="11.25"/>
  <cols>
    <col min="1" max="1" width="13.125" style="2" bestFit="1" customWidth="1"/>
    <col min="2" max="2" width="9.375" style="2" customWidth="1"/>
    <col min="3" max="3" width="13.125" style="2" bestFit="1" customWidth="1"/>
    <col min="4" max="4" width="10.25" style="2" bestFit="1" customWidth="1"/>
    <col min="5" max="5" width="9.5" style="2" bestFit="1" customWidth="1"/>
    <col min="6" max="6" width="5.25" style="2" bestFit="1" customWidth="1"/>
    <col min="7" max="7" width="17" style="2" bestFit="1" customWidth="1"/>
    <col min="8" max="8" width="16" style="2" bestFit="1" customWidth="1"/>
    <col min="9" max="9" width="3.625" style="2" bestFit="1" customWidth="1"/>
    <col min="10" max="10" width="10.25" style="2" bestFit="1" customWidth="1"/>
    <col min="11" max="11" width="7" style="2" bestFit="1" customWidth="1"/>
    <col min="12" max="12" width="8.625" style="2" bestFit="1" customWidth="1"/>
    <col min="13" max="13" width="6.125" style="2" bestFit="1" customWidth="1"/>
    <col min="14" max="14" width="19.75" style="2" bestFit="1" customWidth="1"/>
    <col min="15" max="15" width="17" style="2" bestFit="1" customWidth="1"/>
    <col min="16" max="16" width="13.125" style="2" bestFit="1" customWidth="1"/>
    <col min="17" max="17" width="11.25" style="2" bestFit="1" customWidth="1"/>
    <col min="18" max="18" width="8.625" style="2" bestFit="1" customWidth="1"/>
    <col min="19" max="19" width="10.25" style="2" bestFit="1" customWidth="1"/>
    <col min="20" max="16384" width="8.75" style="2"/>
  </cols>
  <sheetData>
    <row r="1" spans="1:19" s="23" customFormat="1" ht="20.65" customHeight="1">
      <c r="A1" s="11" t="s">
        <v>11</v>
      </c>
      <c r="B1" s="11" t="s">
        <v>58</v>
      </c>
      <c r="C1" s="1" t="s">
        <v>20</v>
      </c>
      <c r="D1" s="1" t="s">
        <v>6</v>
      </c>
      <c r="E1" s="11" t="s">
        <v>7</v>
      </c>
      <c r="F1" s="1" t="s">
        <v>39</v>
      </c>
      <c r="G1" s="19" t="s">
        <v>1</v>
      </c>
      <c r="H1" s="20" t="s">
        <v>2</v>
      </c>
      <c r="I1" s="21" t="s">
        <v>44</v>
      </c>
      <c r="J1" s="22" t="s">
        <v>43</v>
      </c>
      <c r="K1" s="1" t="s">
        <v>40</v>
      </c>
      <c r="L1" s="3" t="s">
        <v>4</v>
      </c>
      <c r="M1" s="3" t="s">
        <v>14</v>
      </c>
      <c r="N1" s="3" t="s">
        <v>5</v>
      </c>
      <c r="O1" s="13" t="s">
        <v>12</v>
      </c>
      <c r="P1" s="12" t="s">
        <v>24</v>
      </c>
      <c r="Q1" s="11" t="s">
        <v>25</v>
      </c>
      <c r="R1" s="11" t="s">
        <v>26</v>
      </c>
      <c r="S1" s="11" t="s">
        <v>27</v>
      </c>
    </row>
  </sheetData>
  <phoneticPr fontId="1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aunchUI">
                <anchor>
                  <from>
                    <xdr:col>0</xdr:col>
                    <xdr:colOff>504825</xdr:colOff>
                    <xdr:row>22</xdr:row>
                    <xdr:rowOff>76200</xdr:rowOff>
                  </from>
                  <to>
                    <xdr:col>3</xdr:col>
                    <xdr:colOff>447675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opyToHistory">
                <anchor>
                  <from>
                    <xdr:col>4</xdr:col>
                    <xdr:colOff>352425</xdr:colOff>
                    <xdr:row>22</xdr:row>
                    <xdr:rowOff>76200</xdr:rowOff>
                  </from>
                  <to>
                    <xdr:col>7</xdr:col>
                    <xdr:colOff>428625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34998626667073579"/>
  </sheetPr>
  <dimension ref="A1:S19"/>
  <sheetViews>
    <sheetView zoomScaleNormal="100" workbookViewId="0">
      <pane ySplit="1" topLeftCell="A2" activePane="bottomLeft" state="frozen"/>
      <selection activeCell="C18" sqref="C18"/>
      <selection pane="bottomLeft" activeCell="A2" sqref="A2"/>
    </sheetView>
  </sheetViews>
  <sheetFormatPr defaultColWidth="7.125" defaultRowHeight="21" customHeight="1"/>
  <cols>
    <col min="1" max="1" width="13.375" style="16" bestFit="1" customWidth="1"/>
    <col min="2" max="2" width="9" style="24" bestFit="1" customWidth="1"/>
    <col min="3" max="3" width="13.375" style="15" bestFit="1" customWidth="1"/>
    <col min="4" max="4" width="11" style="15" bestFit="1" customWidth="1"/>
    <col min="5" max="5" width="10.25" style="16" bestFit="1" customWidth="1"/>
    <col min="6" max="6" width="17.25" style="16" bestFit="1" customWidth="1"/>
    <col min="7" max="7" width="16.75" style="16" bestFit="1" customWidth="1"/>
    <col min="8" max="8" width="15.875" style="16" bestFit="1" customWidth="1"/>
    <col min="9" max="9" width="6.75" style="16" bestFit="1" customWidth="1"/>
    <col min="10" max="10" width="9" style="16" bestFit="1" customWidth="1"/>
    <col min="11" max="11" width="11.375" style="16" bestFit="1" customWidth="1"/>
    <col min="12" max="12" width="10.5" style="16" bestFit="1" customWidth="1"/>
    <col min="13" max="13" width="7.25" style="16" bestFit="1" customWidth="1"/>
    <col min="14" max="14" width="19.75" style="16" bestFit="1" customWidth="1"/>
    <col min="15" max="15" width="18.75" style="25" bestFit="1" customWidth="1"/>
    <col min="16" max="16" width="13.375" style="16" bestFit="1" customWidth="1"/>
    <col min="17" max="17" width="11.75" style="16" bestFit="1" customWidth="1"/>
    <col min="18" max="18" width="9.5" style="16" bestFit="1" customWidth="1"/>
    <col min="19" max="19" width="11" style="16" bestFit="1" customWidth="1"/>
    <col min="20" max="20" width="20.75" style="16" bestFit="1" customWidth="1"/>
    <col min="21" max="21" width="32.25" style="16" bestFit="1" customWidth="1"/>
    <col min="22" max="16384" width="7.125" style="16"/>
  </cols>
  <sheetData>
    <row r="1" spans="1:19" s="28" customFormat="1" ht="20.65" customHeight="1">
      <c r="A1" s="26" t="s">
        <v>11</v>
      </c>
      <c r="B1" s="1" t="s">
        <v>57</v>
      </c>
      <c r="C1" s="1" t="s">
        <v>20</v>
      </c>
      <c r="D1" s="1" t="s">
        <v>6</v>
      </c>
      <c r="E1" s="1" t="s">
        <v>7</v>
      </c>
      <c r="F1" s="1" t="s">
        <v>39</v>
      </c>
      <c r="G1" s="27" t="s">
        <v>1</v>
      </c>
      <c r="H1" s="21" t="s">
        <v>2</v>
      </c>
      <c r="I1" s="21" t="s">
        <v>8</v>
      </c>
      <c r="J1" s="21" t="s">
        <v>13</v>
      </c>
      <c r="K1" s="1" t="s">
        <v>40</v>
      </c>
      <c r="L1" s="12" t="s">
        <v>4</v>
      </c>
      <c r="M1" s="12" t="s">
        <v>81</v>
      </c>
      <c r="N1" s="12" t="s">
        <v>5</v>
      </c>
      <c r="O1" s="13" t="s">
        <v>12</v>
      </c>
      <c r="P1" s="12" t="s">
        <v>24</v>
      </c>
      <c r="Q1" s="1" t="s">
        <v>25</v>
      </c>
      <c r="R1" s="1" t="s">
        <v>26</v>
      </c>
      <c r="S1" s="1" t="s">
        <v>27</v>
      </c>
    </row>
    <row r="2" spans="1:19" ht="21" customHeight="1">
      <c r="A2" s="2">
        <v>1</v>
      </c>
      <c r="B2" s="14">
        <v>44414</v>
      </c>
      <c r="C2" s="2" t="s">
        <v>75</v>
      </c>
      <c r="D2" s="2" t="s">
        <v>79</v>
      </c>
      <c r="E2" s="2" t="s">
        <v>29</v>
      </c>
      <c r="F2" s="2" t="s">
        <v>84</v>
      </c>
      <c r="G2" s="2">
        <v>1000</v>
      </c>
      <c r="H2" s="2">
        <v>100</v>
      </c>
      <c r="I2" s="2" t="s">
        <v>37</v>
      </c>
      <c r="J2" s="2">
        <v>11</v>
      </c>
      <c r="K2" s="2" t="s">
        <v>46</v>
      </c>
      <c r="L2" s="2" t="s">
        <v>31</v>
      </c>
      <c r="M2" s="2">
        <v>1</v>
      </c>
      <c r="N2" s="2" t="s">
        <v>15</v>
      </c>
      <c r="O2" s="2">
        <v>3</v>
      </c>
      <c r="P2" s="2">
        <v>10</v>
      </c>
      <c r="Q2" s="2">
        <v>10</v>
      </c>
      <c r="R2" s="2">
        <v>10</v>
      </c>
      <c r="S2" s="2">
        <v>10</v>
      </c>
    </row>
    <row r="3" spans="1:19" ht="21" customHeight="1">
      <c r="A3" s="2">
        <v>1</v>
      </c>
      <c r="B3" s="14">
        <v>44414</v>
      </c>
      <c r="C3" s="2" t="s">
        <v>75</v>
      </c>
      <c r="D3" s="2" t="s">
        <v>79</v>
      </c>
      <c r="E3" s="2" t="s">
        <v>29</v>
      </c>
      <c r="F3" s="2" t="s">
        <v>84</v>
      </c>
      <c r="G3" s="2">
        <v>1000</v>
      </c>
      <c r="H3" s="2">
        <v>100</v>
      </c>
      <c r="I3" s="2" t="s">
        <v>37</v>
      </c>
      <c r="J3" s="2">
        <v>11</v>
      </c>
      <c r="K3" s="2" t="s">
        <v>46</v>
      </c>
      <c r="L3" s="2" t="s">
        <v>31</v>
      </c>
      <c r="M3" s="2">
        <v>2</v>
      </c>
      <c r="N3" s="2" t="s">
        <v>64</v>
      </c>
      <c r="O3" s="2">
        <v>2</v>
      </c>
      <c r="P3" s="2">
        <v>10</v>
      </c>
      <c r="Q3" s="2">
        <v>10</v>
      </c>
      <c r="R3" s="2">
        <v>10</v>
      </c>
      <c r="S3" s="2">
        <v>10</v>
      </c>
    </row>
    <row r="4" spans="1:19" ht="21" customHeight="1">
      <c r="A4" s="2">
        <v>1</v>
      </c>
      <c r="B4" s="14">
        <v>44414</v>
      </c>
      <c r="C4" s="2" t="s">
        <v>75</v>
      </c>
      <c r="D4" s="2" t="s">
        <v>79</v>
      </c>
      <c r="E4" s="2" t="s">
        <v>29</v>
      </c>
      <c r="F4" s="2" t="s">
        <v>84</v>
      </c>
      <c r="G4" s="2">
        <v>1000</v>
      </c>
      <c r="H4" s="2">
        <v>100</v>
      </c>
      <c r="I4" s="2" t="s">
        <v>37</v>
      </c>
      <c r="J4" s="2">
        <v>11</v>
      </c>
      <c r="K4" s="2" t="s">
        <v>46</v>
      </c>
      <c r="L4" s="2" t="s">
        <v>31</v>
      </c>
      <c r="M4" s="2">
        <v>3</v>
      </c>
      <c r="N4" s="2" t="s">
        <v>66</v>
      </c>
      <c r="O4" s="2">
        <v>1</v>
      </c>
      <c r="P4" s="2">
        <v>10</v>
      </c>
      <c r="Q4" s="2">
        <v>10</v>
      </c>
      <c r="R4" s="2">
        <v>10</v>
      </c>
      <c r="S4" s="2">
        <v>10</v>
      </c>
    </row>
    <row r="5" spans="1:19" ht="21" customHeight="1">
      <c r="A5" s="2">
        <v>1</v>
      </c>
      <c r="B5" s="14">
        <v>44414</v>
      </c>
      <c r="C5" s="2" t="s">
        <v>75</v>
      </c>
      <c r="D5" s="2" t="s">
        <v>79</v>
      </c>
      <c r="E5" s="2" t="s">
        <v>29</v>
      </c>
      <c r="F5" s="2" t="s">
        <v>84</v>
      </c>
      <c r="G5" s="2">
        <v>1000</v>
      </c>
      <c r="H5" s="2">
        <v>100</v>
      </c>
      <c r="I5" s="2" t="s">
        <v>37</v>
      </c>
      <c r="J5" s="2">
        <v>11</v>
      </c>
      <c r="K5" s="2" t="s">
        <v>46</v>
      </c>
      <c r="L5" s="2" t="s">
        <v>31</v>
      </c>
      <c r="M5" s="2">
        <v>4</v>
      </c>
      <c r="N5" s="2" t="s">
        <v>16</v>
      </c>
      <c r="O5" s="2">
        <v>0</v>
      </c>
      <c r="P5" s="2">
        <v>10</v>
      </c>
      <c r="Q5" s="2">
        <v>10</v>
      </c>
      <c r="R5" s="2">
        <v>10</v>
      </c>
      <c r="S5" s="2">
        <v>10</v>
      </c>
    </row>
    <row r="6" spans="1:19" ht="21" customHeight="1">
      <c r="A6" s="2">
        <v>1</v>
      </c>
      <c r="B6" s="14">
        <v>44414</v>
      </c>
      <c r="C6" s="2" t="s">
        <v>75</v>
      </c>
      <c r="D6" s="2" t="s">
        <v>79</v>
      </c>
      <c r="E6" s="2" t="s">
        <v>29</v>
      </c>
      <c r="F6" s="2" t="s">
        <v>84</v>
      </c>
      <c r="G6" s="2">
        <v>1000</v>
      </c>
      <c r="H6" s="2">
        <v>100</v>
      </c>
      <c r="I6" s="2" t="s">
        <v>37</v>
      </c>
      <c r="J6" s="2">
        <v>11</v>
      </c>
      <c r="K6" s="2" t="s">
        <v>46</v>
      </c>
      <c r="L6" s="2" t="s">
        <v>31</v>
      </c>
      <c r="M6" s="2">
        <v>5</v>
      </c>
      <c r="N6" s="2" t="s">
        <v>32</v>
      </c>
      <c r="O6" s="2">
        <v>0</v>
      </c>
      <c r="P6" s="2">
        <v>10</v>
      </c>
      <c r="Q6" s="2">
        <v>10</v>
      </c>
      <c r="R6" s="2">
        <v>10</v>
      </c>
      <c r="S6" s="2">
        <v>10</v>
      </c>
    </row>
    <row r="7" spans="1:19" ht="21" customHeight="1">
      <c r="A7" s="2">
        <v>1</v>
      </c>
      <c r="B7" s="14">
        <v>44414</v>
      </c>
      <c r="C7" s="2" t="s">
        <v>75</v>
      </c>
      <c r="D7" s="2" t="s">
        <v>79</v>
      </c>
      <c r="E7" s="2" t="s">
        <v>29</v>
      </c>
      <c r="F7" s="2" t="s">
        <v>84</v>
      </c>
      <c r="G7" s="2">
        <v>1000</v>
      </c>
      <c r="H7" s="2">
        <v>100</v>
      </c>
      <c r="I7" s="2" t="s">
        <v>37</v>
      </c>
      <c r="J7" s="2">
        <v>11</v>
      </c>
      <c r="K7" s="2" t="s">
        <v>46</v>
      </c>
      <c r="L7" s="2" t="s">
        <v>31</v>
      </c>
      <c r="M7" s="2">
        <v>6</v>
      </c>
      <c r="N7" s="2" t="s">
        <v>70</v>
      </c>
      <c r="O7" s="2">
        <v>0</v>
      </c>
      <c r="P7" s="2">
        <v>10</v>
      </c>
      <c r="Q7" s="2">
        <v>10</v>
      </c>
      <c r="R7" s="2">
        <v>10</v>
      </c>
      <c r="S7" s="2">
        <v>10</v>
      </c>
    </row>
    <row r="8" spans="1:19" ht="21" customHeight="1">
      <c r="A8" s="2">
        <v>1</v>
      </c>
      <c r="B8" s="14">
        <v>44414</v>
      </c>
      <c r="C8" s="2" t="s">
        <v>75</v>
      </c>
      <c r="D8" s="2" t="s">
        <v>79</v>
      </c>
      <c r="E8" s="2" t="s">
        <v>29</v>
      </c>
      <c r="F8" s="2" t="s">
        <v>84</v>
      </c>
      <c r="G8" s="2">
        <v>1000</v>
      </c>
      <c r="H8" s="2">
        <v>100</v>
      </c>
      <c r="I8" s="2" t="s">
        <v>37</v>
      </c>
      <c r="J8" s="2">
        <v>11</v>
      </c>
      <c r="K8" s="2" t="s">
        <v>46</v>
      </c>
      <c r="L8" s="2" t="s">
        <v>31</v>
      </c>
      <c r="M8" s="2">
        <v>7</v>
      </c>
      <c r="N8" s="2" t="s">
        <v>72</v>
      </c>
      <c r="O8" s="2">
        <v>0</v>
      </c>
      <c r="P8" s="2">
        <v>10</v>
      </c>
      <c r="Q8" s="2">
        <v>10</v>
      </c>
      <c r="R8" s="2">
        <v>10</v>
      </c>
      <c r="S8" s="2">
        <v>10</v>
      </c>
    </row>
    <row r="9" spans="1:19" ht="21" customHeight="1">
      <c r="A9" s="2">
        <v>1</v>
      </c>
      <c r="B9" s="14">
        <v>44414</v>
      </c>
      <c r="C9" s="2" t="s">
        <v>75</v>
      </c>
      <c r="D9" s="2" t="s">
        <v>79</v>
      </c>
      <c r="E9" s="2" t="s">
        <v>29</v>
      </c>
      <c r="F9" s="2" t="s">
        <v>84</v>
      </c>
      <c r="G9" s="2">
        <v>1000</v>
      </c>
      <c r="H9" s="2">
        <v>100</v>
      </c>
      <c r="I9" s="2" t="s">
        <v>37</v>
      </c>
      <c r="J9" s="2">
        <v>11</v>
      </c>
      <c r="K9" s="2" t="s">
        <v>46</v>
      </c>
      <c r="L9" s="2" t="s">
        <v>31</v>
      </c>
      <c r="M9" s="2">
        <v>8</v>
      </c>
      <c r="N9" s="2" t="s">
        <v>17</v>
      </c>
      <c r="O9" s="2">
        <v>1</v>
      </c>
      <c r="P9" s="2">
        <v>10</v>
      </c>
      <c r="Q9" s="2">
        <v>10</v>
      </c>
      <c r="R9" s="2">
        <v>10</v>
      </c>
      <c r="S9" s="2">
        <v>10</v>
      </c>
    </row>
    <row r="10" spans="1:19" ht="21" customHeight="1">
      <c r="A10" s="2">
        <v>1</v>
      </c>
      <c r="B10" s="14">
        <v>44414</v>
      </c>
      <c r="C10" s="2" t="s">
        <v>75</v>
      </c>
      <c r="D10" s="2" t="s">
        <v>79</v>
      </c>
      <c r="E10" s="2" t="s">
        <v>29</v>
      </c>
      <c r="F10" s="2" t="s">
        <v>84</v>
      </c>
      <c r="G10" s="2">
        <v>1000</v>
      </c>
      <c r="H10" s="2">
        <v>100</v>
      </c>
      <c r="I10" s="2" t="s">
        <v>37</v>
      </c>
      <c r="J10" s="2">
        <v>11</v>
      </c>
      <c r="K10" s="2" t="s">
        <v>46</v>
      </c>
      <c r="L10" s="2" t="s">
        <v>31</v>
      </c>
      <c r="M10" s="2">
        <v>9</v>
      </c>
      <c r="N10" s="2" t="s">
        <v>73</v>
      </c>
      <c r="O10" s="2">
        <v>0</v>
      </c>
      <c r="P10" s="2">
        <v>10</v>
      </c>
      <c r="Q10" s="2">
        <v>10</v>
      </c>
      <c r="R10" s="2">
        <v>10</v>
      </c>
      <c r="S10" s="2">
        <v>10</v>
      </c>
    </row>
    <row r="11" spans="1:19" ht="21" customHeight="1">
      <c r="A11" s="2">
        <v>1</v>
      </c>
      <c r="B11" s="14">
        <v>44414</v>
      </c>
      <c r="C11" s="2" t="s">
        <v>75</v>
      </c>
      <c r="D11" s="2" t="s">
        <v>79</v>
      </c>
      <c r="E11" s="2" t="s">
        <v>29</v>
      </c>
      <c r="F11" s="2" t="s">
        <v>84</v>
      </c>
      <c r="G11" s="2">
        <v>1000</v>
      </c>
      <c r="H11" s="2">
        <v>100</v>
      </c>
      <c r="I11" s="2" t="s">
        <v>37</v>
      </c>
      <c r="J11" s="2">
        <v>11</v>
      </c>
      <c r="K11" s="2" t="s">
        <v>46</v>
      </c>
      <c r="L11" s="2" t="s">
        <v>31</v>
      </c>
      <c r="M11" s="2">
        <v>10</v>
      </c>
      <c r="N11" s="2" t="s">
        <v>63</v>
      </c>
      <c r="O11" s="2">
        <v>0</v>
      </c>
      <c r="P11" s="2">
        <v>10</v>
      </c>
      <c r="Q11" s="2">
        <v>10</v>
      </c>
      <c r="R11" s="2">
        <v>10</v>
      </c>
      <c r="S11" s="2">
        <v>10</v>
      </c>
    </row>
    <row r="12" spans="1:19" ht="21" customHeight="1">
      <c r="A12" s="2">
        <v>1</v>
      </c>
      <c r="B12" s="14">
        <v>44414</v>
      </c>
      <c r="C12" s="2" t="s">
        <v>75</v>
      </c>
      <c r="D12" s="2" t="s">
        <v>79</v>
      </c>
      <c r="E12" s="2" t="s">
        <v>29</v>
      </c>
      <c r="F12" s="2" t="s">
        <v>84</v>
      </c>
      <c r="G12" s="2">
        <v>1000</v>
      </c>
      <c r="H12" s="2">
        <v>100</v>
      </c>
      <c r="I12" s="2" t="s">
        <v>37</v>
      </c>
      <c r="J12" s="2">
        <v>11</v>
      </c>
      <c r="K12" s="2" t="s">
        <v>46</v>
      </c>
      <c r="L12" s="2" t="s">
        <v>31</v>
      </c>
      <c r="M12" s="2">
        <v>11</v>
      </c>
      <c r="N12" s="2" t="s">
        <v>65</v>
      </c>
      <c r="O12" s="2">
        <v>0</v>
      </c>
      <c r="P12" s="2">
        <v>10</v>
      </c>
      <c r="Q12" s="2">
        <v>10</v>
      </c>
      <c r="R12" s="2">
        <v>10</v>
      </c>
      <c r="S12" s="2">
        <v>10</v>
      </c>
    </row>
    <row r="13" spans="1:19" ht="21" customHeight="1">
      <c r="A13" s="2">
        <v>1</v>
      </c>
      <c r="B13" s="14">
        <v>44414</v>
      </c>
      <c r="C13" s="2" t="s">
        <v>75</v>
      </c>
      <c r="D13" s="2" t="s">
        <v>79</v>
      </c>
      <c r="E13" s="2" t="s">
        <v>29</v>
      </c>
      <c r="F13" s="2" t="s">
        <v>84</v>
      </c>
      <c r="G13" s="2">
        <v>1000</v>
      </c>
      <c r="H13" s="2">
        <v>100</v>
      </c>
      <c r="I13" s="2" t="s">
        <v>37</v>
      </c>
      <c r="J13" s="2">
        <v>11</v>
      </c>
      <c r="K13" s="2" t="s">
        <v>46</v>
      </c>
      <c r="L13" s="2" t="s">
        <v>31</v>
      </c>
      <c r="M13" s="2">
        <v>12</v>
      </c>
      <c r="N13" s="2" t="s">
        <v>67</v>
      </c>
      <c r="O13" s="2">
        <v>1</v>
      </c>
      <c r="P13" s="2">
        <v>10</v>
      </c>
      <c r="Q13" s="2">
        <v>10</v>
      </c>
      <c r="R13" s="2">
        <v>10</v>
      </c>
      <c r="S13" s="2">
        <v>10</v>
      </c>
    </row>
    <row r="14" spans="1:19" ht="21" customHeight="1">
      <c r="A14" s="2">
        <v>1</v>
      </c>
      <c r="B14" s="14">
        <v>44414</v>
      </c>
      <c r="C14" s="2" t="s">
        <v>75</v>
      </c>
      <c r="D14" s="2" t="s">
        <v>79</v>
      </c>
      <c r="E14" s="2" t="s">
        <v>29</v>
      </c>
      <c r="F14" s="2" t="s">
        <v>84</v>
      </c>
      <c r="G14" s="2">
        <v>1000</v>
      </c>
      <c r="H14" s="2">
        <v>100</v>
      </c>
      <c r="I14" s="2" t="s">
        <v>37</v>
      </c>
      <c r="J14" s="2">
        <v>11</v>
      </c>
      <c r="K14" s="2" t="s">
        <v>46</v>
      </c>
      <c r="L14" s="2" t="s">
        <v>31</v>
      </c>
      <c r="M14" s="2">
        <v>13</v>
      </c>
      <c r="N14" s="2" t="s">
        <v>68</v>
      </c>
      <c r="O14" s="2">
        <v>0</v>
      </c>
      <c r="P14" s="2">
        <v>10</v>
      </c>
      <c r="Q14" s="2">
        <v>10</v>
      </c>
      <c r="R14" s="2">
        <v>10</v>
      </c>
      <c r="S14" s="2">
        <v>10</v>
      </c>
    </row>
    <row r="15" spans="1:19" ht="21" customHeight="1">
      <c r="A15" s="2">
        <v>1</v>
      </c>
      <c r="B15" s="14">
        <v>44414</v>
      </c>
      <c r="C15" s="2" t="s">
        <v>75</v>
      </c>
      <c r="D15" s="2" t="s">
        <v>79</v>
      </c>
      <c r="E15" s="2" t="s">
        <v>29</v>
      </c>
      <c r="F15" s="2" t="s">
        <v>84</v>
      </c>
      <c r="G15" s="2">
        <v>1000</v>
      </c>
      <c r="H15" s="2">
        <v>100</v>
      </c>
      <c r="I15" s="2" t="s">
        <v>37</v>
      </c>
      <c r="J15" s="2">
        <v>11</v>
      </c>
      <c r="K15" s="2" t="s">
        <v>46</v>
      </c>
      <c r="L15" s="2" t="s">
        <v>31</v>
      </c>
      <c r="M15" s="2">
        <v>14</v>
      </c>
      <c r="N15" s="2" t="s">
        <v>69</v>
      </c>
      <c r="O15" s="2">
        <v>0</v>
      </c>
      <c r="P15" s="2">
        <v>10</v>
      </c>
      <c r="Q15" s="2">
        <v>10</v>
      </c>
      <c r="R15" s="2">
        <v>10</v>
      </c>
      <c r="S15" s="2">
        <v>10</v>
      </c>
    </row>
    <row r="16" spans="1:19" ht="21" customHeight="1">
      <c r="A16" s="2">
        <v>1</v>
      </c>
      <c r="B16" s="14">
        <v>44414</v>
      </c>
      <c r="C16" s="2" t="s">
        <v>75</v>
      </c>
      <c r="D16" s="2" t="s">
        <v>79</v>
      </c>
      <c r="E16" s="2" t="s">
        <v>29</v>
      </c>
      <c r="F16" s="2" t="s">
        <v>84</v>
      </c>
      <c r="G16" s="2">
        <v>1000</v>
      </c>
      <c r="H16" s="2">
        <v>100</v>
      </c>
      <c r="I16" s="2" t="s">
        <v>37</v>
      </c>
      <c r="J16" s="2">
        <v>11</v>
      </c>
      <c r="K16" s="2" t="s">
        <v>46</v>
      </c>
      <c r="L16" s="2" t="s">
        <v>31</v>
      </c>
      <c r="M16" s="2">
        <v>15</v>
      </c>
      <c r="N16" s="2" t="s">
        <v>71</v>
      </c>
      <c r="O16" s="2">
        <v>0</v>
      </c>
      <c r="P16" s="2">
        <v>10</v>
      </c>
      <c r="Q16" s="2">
        <v>10</v>
      </c>
      <c r="R16" s="2">
        <v>10</v>
      </c>
      <c r="S16" s="2">
        <v>10</v>
      </c>
    </row>
    <row r="17" spans="1:19" ht="21" customHeight="1">
      <c r="A17" s="2">
        <v>1</v>
      </c>
      <c r="B17" s="14">
        <v>44414</v>
      </c>
      <c r="C17" s="2" t="s">
        <v>75</v>
      </c>
      <c r="D17" s="2" t="s">
        <v>79</v>
      </c>
      <c r="E17" s="2" t="s">
        <v>29</v>
      </c>
      <c r="F17" s="2" t="s">
        <v>84</v>
      </c>
      <c r="G17" s="2">
        <v>1000</v>
      </c>
      <c r="H17" s="2">
        <v>100</v>
      </c>
      <c r="I17" s="2" t="s">
        <v>37</v>
      </c>
      <c r="J17" s="2">
        <v>11</v>
      </c>
      <c r="K17" s="2" t="s">
        <v>46</v>
      </c>
      <c r="L17" s="2" t="s">
        <v>31</v>
      </c>
      <c r="M17" s="2">
        <v>16</v>
      </c>
      <c r="N17" s="2" t="s">
        <v>18</v>
      </c>
      <c r="O17" s="2">
        <v>1</v>
      </c>
      <c r="P17" s="2">
        <v>10</v>
      </c>
      <c r="Q17" s="2">
        <v>10</v>
      </c>
      <c r="R17" s="2">
        <v>10</v>
      </c>
      <c r="S17" s="2">
        <v>10</v>
      </c>
    </row>
    <row r="18" spans="1:19" ht="21" customHeight="1">
      <c r="A18" s="2">
        <v>1</v>
      </c>
      <c r="B18" s="14">
        <v>44414</v>
      </c>
      <c r="C18" s="2" t="s">
        <v>75</v>
      </c>
      <c r="D18" s="2" t="s">
        <v>79</v>
      </c>
      <c r="E18" s="2" t="s">
        <v>29</v>
      </c>
      <c r="F18" s="2" t="s">
        <v>84</v>
      </c>
      <c r="G18" s="2">
        <v>1000</v>
      </c>
      <c r="H18" s="2">
        <v>100</v>
      </c>
      <c r="I18" s="2" t="s">
        <v>37</v>
      </c>
      <c r="J18" s="2">
        <v>11</v>
      </c>
      <c r="K18" s="2" t="s">
        <v>46</v>
      </c>
      <c r="L18" s="2" t="s">
        <v>31</v>
      </c>
      <c r="M18" s="2">
        <v>17</v>
      </c>
      <c r="N18" s="2" t="s">
        <v>33</v>
      </c>
      <c r="O18" s="2">
        <v>0</v>
      </c>
      <c r="P18" s="2">
        <v>10</v>
      </c>
      <c r="Q18" s="2">
        <v>10</v>
      </c>
      <c r="R18" s="2">
        <v>10</v>
      </c>
      <c r="S18" s="2">
        <v>10</v>
      </c>
    </row>
    <row r="19" spans="1:19" ht="21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</sheetData>
  <autoFilter ref="A1:S1" xr:uid="{00000000-0009-0000-0000-000000000000}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6ADB3-C9C5-4835-8387-3D95B6FD3616}">
  <sheetPr codeName="Sheet6">
    <tabColor theme="0" tint="-0.34998626667073579"/>
  </sheetPr>
  <dimension ref="A2:E28"/>
  <sheetViews>
    <sheetView zoomScaleNormal="100" workbookViewId="0"/>
  </sheetViews>
  <sheetFormatPr defaultRowHeight="11.25"/>
  <cols>
    <col min="1" max="1" width="6" style="2" bestFit="1" customWidth="1"/>
    <col min="2" max="2" width="7.5" style="2" bestFit="1" customWidth="1"/>
    <col min="3" max="3" width="18" style="17" bestFit="1" customWidth="1"/>
    <col min="4" max="4" width="25.5" style="18" bestFit="1" customWidth="1"/>
    <col min="5" max="5" width="20" style="18" bestFit="1" customWidth="1"/>
    <col min="6" max="16384" width="9" style="2"/>
  </cols>
  <sheetData>
    <row r="2" spans="1:5">
      <c r="A2" s="29" t="s">
        <v>49</v>
      </c>
      <c r="B2" s="30">
        <f ca="1">TODAY()</f>
        <v>44414</v>
      </c>
    </row>
    <row r="4" spans="1:5">
      <c r="C4" s="17" t="s">
        <v>40</v>
      </c>
      <c r="D4" s="18" t="s">
        <v>39</v>
      </c>
      <c r="E4" s="18" t="s">
        <v>83</v>
      </c>
    </row>
    <row r="5" spans="1:5">
      <c r="C5" s="17" t="s">
        <v>50</v>
      </c>
      <c r="D5" s="18" t="s">
        <v>82</v>
      </c>
      <c r="E5" s="31" t="str">
        <f ca="1">IF(SUMIFS(DownSyncHistory!O:O,DownSyncHistory!B:B,ToReport!$B$2,DownSyncHistory!K:K,ToReport!$C5,DownSyncHistory!F:F,ToReport!$D5)=0,"-",SUMIFS(DownSyncHistory!O:O,DownSyncHistory!B:B,ToReport!$B$2,DownSyncHistory!K:K,ToReport!$C5,DownSyncHistory!F:F,ToReport!$D5)&amp;"s")</f>
        <v>-</v>
      </c>
    </row>
    <row r="6" spans="1:5">
      <c r="C6" s="17" t="s">
        <v>50</v>
      </c>
      <c r="D6" s="18" t="s">
        <v>80</v>
      </c>
      <c r="E6" s="31" t="str">
        <f ca="1">IF(SUMIFS(DownSyncHistory!O:O,DownSyncHistory!B:B,ToReport!$B$2,DownSyncHistory!K:K,ToReport!$C6,DownSyncHistory!F:F,ToReport!$D6)=0,"-",SUMIFS(DownSyncHistory!O:O,DownSyncHistory!B:B,ToReport!$B$2,DownSyncHistory!K:K,ToReport!$C6,DownSyncHistory!F:F,ToReport!$D6)&amp;"s")</f>
        <v>-</v>
      </c>
    </row>
    <row r="7" spans="1:5">
      <c r="C7" s="17" t="s">
        <v>51</v>
      </c>
      <c r="D7" s="18" t="s">
        <v>82</v>
      </c>
      <c r="E7" s="31" t="str">
        <f ca="1">IF(SUMIFS(DownSyncHistory!O:O,DownSyncHistory!B:B,ToReport!$B$2,DownSyncHistory!K:K,ToReport!$C7,DownSyncHistory!F:F,ToReport!$D7)=0,"-",SUMIFS(DownSyncHistory!O:O,DownSyncHistory!B:B,ToReport!$B$2,DownSyncHistory!K:K,ToReport!$C7,DownSyncHistory!F:F,ToReport!$D7)&amp;"s")</f>
        <v>-</v>
      </c>
    </row>
    <row r="8" spans="1:5">
      <c r="C8" s="17" t="s">
        <v>51</v>
      </c>
      <c r="D8" s="18" t="s">
        <v>80</v>
      </c>
      <c r="E8" s="31" t="str">
        <f ca="1">IF(SUMIFS(DownSyncHistory!O:O,DownSyncHistory!B:B,ToReport!$B$2,DownSyncHistory!K:K,ToReport!$C8,DownSyncHistory!F:F,ToReport!$D8)=0,"-",SUMIFS(DownSyncHistory!O:O,DownSyncHistory!B:B,ToReport!$B$2,DownSyncHistory!K:K,ToReport!$C8,DownSyncHistory!F:F,ToReport!$D8)&amp;"s")</f>
        <v>-</v>
      </c>
    </row>
    <row r="9" spans="1:5">
      <c r="C9" s="17" t="s">
        <v>30</v>
      </c>
      <c r="D9" s="18" t="s">
        <v>82</v>
      </c>
      <c r="E9" s="31" t="str">
        <f ca="1">IF(SUMIFS(DownSyncHistory!O:O,DownSyncHistory!B:B,ToReport!$B$2,DownSyncHistory!K:K,ToReport!$C9,DownSyncHistory!F:F,ToReport!$D9)=0,"-",SUMIFS(DownSyncHistory!O:O,DownSyncHistory!B:B,ToReport!$B$2,DownSyncHistory!K:K,ToReport!$C9,DownSyncHistory!F:F,ToReport!$D9)&amp;"s")</f>
        <v>-</v>
      </c>
    </row>
    <row r="10" spans="1:5">
      <c r="C10" s="17" t="s">
        <v>30</v>
      </c>
      <c r="D10" s="18" t="s">
        <v>80</v>
      </c>
      <c r="E10" s="31" t="str">
        <f ca="1">IF(SUMIFS(DownSyncHistory!O:O,DownSyncHistory!B:B,ToReport!$B$2,DownSyncHistory!K:K,ToReport!$C10,DownSyncHistory!F:F,ToReport!$D10)=0,"-",SUMIFS(DownSyncHistory!O:O,DownSyncHistory!B:B,ToReport!$B$2,DownSyncHistory!K:K,ToReport!$C10,DownSyncHistory!F:F,ToReport!$D10)&amp;"s")</f>
        <v>-</v>
      </c>
    </row>
    <row r="11" spans="1:5">
      <c r="C11" s="17" t="s">
        <v>9</v>
      </c>
      <c r="D11" s="18" t="s">
        <v>82</v>
      </c>
      <c r="E11" s="31" t="str">
        <f ca="1">IF(SUMIFS(DownSyncHistory!O:O,DownSyncHistory!B:B,ToReport!$B$2,DownSyncHistory!K:K,ToReport!$C11,DownSyncHistory!F:F,ToReport!$D11)=0,"-",SUMIFS(DownSyncHistory!O:O,DownSyncHistory!B:B,ToReport!$B$2,DownSyncHistory!K:K,ToReport!$C11,DownSyncHistory!F:F,ToReport!$D11)&amp;"s")</f>
        <v>-</v>
      </c>
    </row>
    <row r="12" spans="1:5">
      <c r="C12" s="17" t="s">
        <v>9</v>
      </c>
      <c r="D12" s="18" t="s">
        <v>80</v>
      </c>
      <c r="E12" s="31" t="str">
        <f ca="1">IF(SUMIFS(DownSyncHistory!O:O,DownSyncHistory!B:B,ToReport!$B$2,DownSyncHistory!K:K,ToReport!$C12,DownSyncHistory!F:F,ToReport!$D12)=0,"-",SUMIFS(DownSyncHistory!O:O,DownSyncHistory!B:B,ToReport!$B$2,DownSyncHistory!K:K,ToReport!$C12,DownSyncHistory!F:F,ToReport!$D12)&amp;"s")</f>
        <v>-</v>
      </c>
    </row>
    <row r="13" spans="1:5">
      <c r="C13" s="17" t="s">
        <v>52</v>
      </c>
      <c r="D13" s="18" t="s">
        <v>82</v>
      </c>
      <c r="E13" s="31" t="str">
        <f ca="1">IF(SUMIFS(DownSyncHistory!O:O,DownSyncHistory!B:B,ToReport!$B$2,DownSyncHistory!K:K,ToReport!$C13,DownSyncHistory!F:F,ToReport!$D13)=0,"-",SUMIFS(DownSyncHistory!O:O,DownSyncHistory!B:B,ToReport!$B$2,DownSyncHistory!K:K,ToReport!$C13,DownSyncHistory!F:F,ToReport!$D13)&amp;"s")</f>
        <v>-</v>
      </c>
    </row>
    <row r="14" spans="1:5">
      <c r="C14" s="17" t="s">
        <v>52</v>
      </c>
      <c r="D14" s="18" t="s">
        <v>80</v>
      </c>
      <c r="E14" s="31" t="str">
        <f ca="1">IF(SUMIFS(DownSyncHistory!O:O,DownSyncHistory!B:B,ToReport!$B$2,DownSyncHistory!K:K,ToReport!$C14,DownSyncHistory!F:F,ToReport!$D14)=0,"-",SUMIFS(DownSyncHistory!O:O,DownSyncHistory!B:B,ToReport!$B$2,DownSyncHistory!K:K,ToReport!$C14,DownSyncHistory!F:F,ToReport!$D14)&amp;"s")</f>
        <v>-</v>
      </c>
    </row>
    <row r="15" spans="1:5">
      <c r="C15" s="17" t="s">
        <v>45</v>
      </c>
      <c r="D15" s="18" t="s">
        <v>82</v>
      </c>
      <c r="E15" s="31" t="str">
        <f ca="1">IF(SUMIFS(DownSyncHistory!O:O,DownSyncHistory!B:B,ToReport!$B$2,DownSyncHistory!K:K,ToReport!$C15,DownSyncHistory!F:F,ToReport!$D15)=0,"-",SUMIFS(DownSyncHistory!O:O,DownSyncHistory!B:B,ToReport!$B$2,DownSyncHistory!K:K,ToReport!$C15,DownSyncHistory!F:F,ToReport!$D15)&amp;"s")</f>
        <v>-</v>
      </c>
    </row>
    <row r="16" spans="1:5">
      <c r="C16" s="17" t="s">
        <v>45</v>
      </c>
      <c r="D16" s="18" t="s">
        <v>80</v>
      </c>
      <c r="E16" s="31" t="str">
        <f ca="1">IF(SUMIFS(DownSyncHistory!O:O,DownSyncHistory!B:B,ToReport!$B$2,DownSyncHistory!K:K,ToReport!$C16,DownSyncHistory!F:F,ToReport!$D16)=0,"-",SUMIFS(DownSyncHistory!O:O,DownSyncHistory!B:B,ToReport!$B$2,DownSyncHistory!K:K,ToReport!$C16,DownSyncHistory!F:F,ToReport!$D16)&amp;"s")</f>
        <v>-</v>
      </c>
    </row>
    <row r="17" spans="3:5">
      <c r="C17" s="17" t="s">
        <v>35</v>
      </c>
      <c r="D17" s="18" t="s">
        <v>82</v>
      </c>
      <c r="E17" s="31" t="str">
        <f ca="1">IF(SUMIFS(DownSyncHistory!O:O,DownSyncHistory!B:B,ToReport!$B$2,DownSyncHistory!K:K,ToReport!$C17,DownSyncHistory!F:F,ToReport!$D17)=0,"-",SUMIFS(DownSyncHistory!O:O,DownSyncHistory!B:B,ToReport!$B$2,DownSyncHistory!K:K,ToReport!$C17,DownSyncHistory!F:F,ToReport!$D17)&amp;"s")</f>
        <v>-</v>
      </c>
    </row>
    <row r="18" spans="3:5">
      <c r="C18" s="17" t="s">
        <v>35</v>
      </c>
      <c r="D18" s="18" t="s">
        <v>80</v>
      </c>
      <c r="E18" s="31" t="str">
        <f ca="1">IF(SUMIFS(DownSyncHistory!O:O,DownSyncHistory!B:B,ToReport!$B$2,DownSyncHistory!K:K,ToReport!$C18,DownSyncHistory!F:F,ToReport!$D18)=0,"-",SUMIFS(DownSyncHistory!O:O,DownSyncHistory!B:B,ToReport!$B$2,DownSyncHistory!K:K,ToReport!$C18,DownSyncHistory!F:F,ToReport!$D18)&amp;"s")</f>
        <v>-</v>
      </c>
    </row>
    <row r="19" spans="3:5">
      <c r="C19" s="17" t="s">
        <v>36</v>
      </c>
      <c r="D19" s="18" t="s">
        <v>82</v>
      </c>
      <c r="E19" s="31" t="str">
        <f ca="1">IF(SUMIFS(DownSyncHistory!O:O,DownSyncHistory!B:B,ToReport!$B$2,DownSyncHistory!K:K,ToReport!$C19,DownSyncHistory!F:F,ToReport!$D19)=0,"-",SUMIFS(DownSyncHistory!O:O,DownSyncHistory!B:B,ToReport!$B$2,DownSyncHistory!K:K,ToReport!$C19,DownSyncHistory!F:F,ToReport!$D19)&amp;"s")</f>
        <v>-</v>
      </c>
    </row>
    <row r="20" spans="3:5">
      <c r="C20" s="17" t="s">
        <v>36</v>
      </c>
      <c r="D20" s="18" t="s">
        <v>80</v>
      </c>
      <c r="E20" s="31" t="str">
        <f ca="1">IF(SUMIFS(DownSyncHistory!O:O,DownSyncHistory!B:B,ToReport!$B$2,DownSyncHistory!K:K,ToReport!$C20,DownSyncHistory!F:F,ToReport!$D20)=0,"-",SUMIFS(DownSyncHistory!O:O,DownSyncHistory!B:B,ToReport!$B$2,DownSyncHistory!K:K,ToReport!$C20,DownSyncHistory!F:F,ToReport!$D20)&amp;"s")</f>
        <v>-</v>
      </c>
    </row>
    <row r="21" spans="3:5">
      <c r="C21" s="17" t="s">
        <v>38</v>
      </c>
      <c r="D21" s="18" t="s">
        <v>82</v>
      </c>
      <c r="E21" s="31" t="str">
        <f ca="1">IF(SUMIFS(DownSyncHistory!O:O,DownSyncHistory!B:B,ToReport!$B$2,DownSyncHistory!K:K,ToReport!$C21,DownSyncHistory!F:F,ToReport!$D21)=0,"-",SUMIFS(DownSyncHistory!O:O,DownSyncHistory!B:B,ToReport!$B$2,DownSyncHistory!K:K,ToReport!$C21,DownSyncHistory!F:F,ToReport!$D21)&amp;"s")</f>
        <v>-</v>
      </c>
    </row>
    <row r="22" spans="3:5">
      <c r="C22" s="17" t="s">
        <v>38</v>
      </c>
      <c r="D22" s="18" t="s">
        <v>80</v>
      </c>
      <c r="E22" s="31" t="str">
        <f ca="1">IF(SUMIFS(DownSyncHistory!O:O,DownSyncHistory!B:B,ToReport!$B$2,DownSyncHistory!K:K,ToReport!$C22,DownSyncHistory!F:F,ToReport!$D22)=0,"-",SUMIFS(DownSyncHistory!O:O,DownSyncHistory!B:B,ToReport!$B$2,DownSyncHistory!K:K,ToReport!$C22,DownSyncHistory!F:F,ToReport!$D22)&amp;"s")</f>
        <v>-</v>
      </c>
    </row>
    <row r="23" spans="3:5">
      <c r="C23" s="17" t="s">
        <v>46</v>
      </c>
      <c r="D23" s="18" t="s">
        <v>82</v>
      </c>
      <c r="E23" s="31" t="str">
        <f ca="1">IF(SUMIFS(DownSyncHistory!O:O,DownSyncHistory!B:B,ToReport!$B$2,DownSyncHistory!K:K,ToReport!$C23,DownSyncHistory!F:F,ToReport!$D23)=0,"-",SUMIFS(DownSyncHistory!O:O,DownSyncHistory!B:B,ToReport!$B$2,DownSyncHistory!K:K,ToReport!$C23,DownSyncHistory!F:F,ToReport!$D23)&amp;"s")</f>
        <v>-</v>
      </c>
    </row>
    <row r="24" spans="3:5">
      <c r="C24" s="17" t="s">
        <v>46</v>
      </c>
      <c r="D24" s="18" t="s">
        <v>80</v>
      </c>
      <c r="E24" s="31" t="str">
        <f ca="1">IF(SUMIFS(DownSyncHistory!O:O,DownSyncHistory!B:B,ToReport!$B$2,DownSyncHistory!K:K,ToReport!$C24,DownSyncHistory!F:F,ToReport!$D24)=0,"-",SUMIFS(DownSyncHistory!O:O,DownSyncHistory!B:B,ToReport!$B$2,DownSyncHistory!K:K,ToReport!$C24,DownSyncHistory!F:F,ToReport!$D24)&amp;"s")</f>
        <v>9s</v>
      </c>
    </row>
    <row r="25" spans="3:5">
      <c r="C25" s="17" t="s">
        <v>47</v>
      </c>
      <c r="D25" s="18" t="s">
        <v>82</v>
      </c>
      <c r="E25" s="31" t="str">
        <f ca="1">IF(SUMIFS(DownSyncHistory!O:O,DownSyncHistory!B:B,ToReport!$B$2,DownSyncHistory!K:K,ToReport!$C25,DownSyncHistory!F:F,ToReport!$D25)=0,"-",SUMIFS(DownSyncHistory!O:O,DownSyncHistory!B:B,ToReport!$B$2,DownSyncHistory!K:K,ToReport!$C25,DownSyncHistory!F:F,ToReport!$D25)&amp;"s")</f>
        <v>-</v>
      </c>
    </row>
    <row r="26" spans="3:5">
      <c r="C26" s="17" t="s">
        <v>47</v>
      </c>
      <c r="D26" s="18" t="s">
        <v>80</v>
      </c>
      <c r="E26" s="31" t="str">
        <f ca="1">IF(SUMIFS(DownSyncHistory!O:O,DownSyncHistory!B:B,ToReport!$B$2,DownSyncHistory!K:K,ToReport!$C26,DownSyncHistory!F:F,ToReport!$D26)=0,"-",SUMIFS(DownSyncHistory!O:O,DownSyncHistory!B:B,ToReport!$B$2,DownSyncHistory!K:K,ToReport!$C26,DownSyncHistory!F:F,ToReport!$D26)&amp;"s")</f>
        <v>-</v>
      </c>
    </row>
    <row r="27" spans="3:5">
      <c r="C27" s="17" t="s">
        <v>59</v>
      </c>
      <c r="D27" s="18" t="s">
        <v>82</v>
      </c>
      <c r="E27" s="31" t="str">
        <f ca="1">IF(SUMIFS(DownSyncHistory!O:O,DownSyncHistory!B:B,ToReport!$B$2,DownSyncHistory!K:K,ToReport!$C27,DownSyncHistory!F:F,ToReport!$D27)=0,"-",SUMIFS(DownSyncHistory!O:O,DownSyncHistory!B:B,ToReport!$B$2,DownSyncHistory!K:K,ToReport!$C27,DownSyncHistory!F:F,ToReport!$D27)&amp;"s")</f>
        <v>-</v>
      </c>
    </row>
    <row r="28" spans="3:5">
      <c r="C28" s="17" t="s">
        <v>59</v>
      </c>
      <c r="D28" s="18" t="s">
        <v>80</v>
      </c>
      <c r="E28" s="31" t="str">
        <f ca="1">IF(SUMIFS(DownSyncHistory!O:O,DownSyncHistory!B:B,ToReport!$B$2,DownSyncHistory!K:K,ToReport!$C28,DownSyncHistory!F:F,ToReport!$D28)=0,"-",SUMIFS(DownSyncHistory!O:O,DownSyncHistory!B:B,ToReport!$B$2,DownSyncHistory!K:K,ToReport!$C28,DownSyncHistory!F:F,ToReport!$D28)&amp;"s")</f>
        <v>-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2EEB3-C656-489A-AA55-BB555A681851}">
  <sheetPr codeName="Sheet4">
    <tabColor theme="9" tint="0.39997558519241921"/>
  </sheetPr>
  <dimension ref="A1:O36"/>
  <sheetViews>
    <sheetView zoomScaleNormal="100" workbookViewId="0"/>
  </sheetViews>
  <sheetFormatPr defaultColWidth="8.75" defaultRowHeight="11.25"/>
  <cols>
    <col min="1" max="1" width="22.625" style="10" bestFit="1" customWidth="1"/>
    <col min="2" max="2" width="29.25" style="7" bestFit="1" customWidth="1"/>
    <col min="3" max="3" width="20.75" style="6" bestFit="1" customWidth="1"/>
    <col min="4" max="4" width="8.75" style="2"/>
    <col min="5" max="5" width="15" style="7" bestFit="1" customWidth="1"/>
    <col min="6" max="6" width="22.625" style="8" bestFit="1" customWidth="1"/>
    <col min="7" max="7" width="19.75" style="9" bestFit="1" customWidth="1"/>
    <col min="8" max="8" width="24.625" style="9" bestFit="1" customWidth="1"/>
    <col min="9" max="15" width="22.75" style="9" bestFit="1" customWidth="1"/>
    <col min="16" max="16384" width="8.75" style="2"/>
  </cols>
  <sheetData>
    <row r="1" spans="1:15">
      <c r="A1" s="1" t="s">
        <v>20</v>
      </c>
      <c r="B1" s="1" t="s">
        <v>39</v>
      </c>
      <c r="C1" s="1" t="s">
        <v>40</v>
      </c>
      <c r="E1" s="3" t="s">
        <v>4</v>
      </c>
      <c r="F1" s="4" t="s">
        <v>3</v>
      </c>
      <c r="G1" s="5" t="s">
        <v>0</v>
      </c>
      <c r="H1" s="5" t="s">
        <v>54</v>
      </c>
      <c r="I1" s="5"/>
      <c r="J1" s="5"/>
      <c r="K1" s="5"/>
      <c r="L1" s="5"/>
      <c r="M1" s="5"/>
      <c r="N1" s="5"/>
      <c r="O1" s="5"/>
    </row>
    <row r="2" spans="1:15">
      <c r="A2" s="6" t="s">
        <v>74</v>
      </c>
      <c r="B2" s="7" t="s">
        <v>80</v>
      </c>
      <c r="C2" s="6" t="s">
        <v>41</v>
      </c>
      <c r="E2" s="7" t="s">
        <v>3</v>
      </c>
      <c r="F2" s="8" t="s">
        <v>15</v>
      </c>
      <c r="G2" s="9" t="s">
        <v>63</v>
      </c>
      <c r="H2" s="9" t="s">
        <v>55</v>
      </c>
    </row>
    <row r="3" spans="1:15">
      <c r="A3" s="6" t="s">
        <v>75</v>
      </c>
      <c r="B3" s="7" t="s">
        <v>60</v>
      </c>
      <c r="C3" s="6" t="s">
        <v>23</v>
      </c>
      <c r="E3" s="7" t="s">
        <v>0</v>
      </c>
      <c r="F3" s="8" t="s">
        <v>64</v>
      </c>
      <c r="G3" s="9" t="s">
        <v>65</v>
      </c>
      <c r="H3" s="9" t="s">
        <v>56</v>
      </c>
    </row>
    <row r="4" spans="1:15">
      <c r="A4" s="6" t="s">
        <v>76</v>
      </c>
      <c r="B4" s="7" t="s">
        <v>34</v>
      </c>
      <c r="C4" s="6" t="s">
        <v>28</v>
      </c>
      <c r="E4" s="7" t="s">
        <v>53</v>
      </c>
      <c r="F4" s="8" t="s">
        <v>66</v>
      </c>
      <c r="G4" s="9" t="s">
        <v>67</v>
      </c>
    </row>
    <row r="5" spans="1:15">
      <c r="A5" s="6" t="s">
        <v>77</v>
      </c>
      <c r="B5" s="7" t="s">
        <v>61</v>
      </c>
      <c r="C5" s="6" t="s">
        <v>10</v>
      </c>
      <c r="F5" s="8" t="s">
        <v>16</v>
      </c>
      <c r="G5" s="9" t="s">
        <v>68</v>
      </c>
    </row>
    <row r="6" spans="1:15">
      <c r="A6" s="6" t="s">
        <v>78</v>
      </c>
      <c r="B6" s="7" t="s">
        <v>62</v>
      </c>
      <c r="C6" s="6" t="s">
        <v>21</v>
      </c>
      <c r="F6" s="8" t="s">
        <v>32</v>
      </c>
      <c r="G6" s="9" t="s">
        <v>69</v>
      </c>
    </row>
    <row r="7" spans="1:15">
      <c r="A7" s="6"/>
      <c r="B7" s="7" t="s">
        <v>82</v>
      </c>
      <c r="C7" s="6" t="s">
        <v>19</v>
      </c>
      <c r="F7" s="8" t="s">
        <v>70</v>
      </c>
      <c r="G7" s="9" t="s">
        <v>71</v>
      </c>
    </row>
    <row r="8" spans="1:15">
      <c r="C8" s="6" t="s">
        <v>35</v>
      </c>
      <c r="F8" s="8" t="s">
        <v>72</v>
      </c>
      <c r="G8" s="9" t="s">
        <v>18</v>
      </c>
    </row>
    <row r="9" spans="1:15">
      <c r="C9" s="6" t="s">
        <v>36</v>
      </c>
      <c r="F9" s="8" t="s">
        <v>17</v>
      </c>
      <c r="G9" s="9" t="s">
        <v>33</v>
      </c>
    </row>
    <row r="10" spans="1:15">
      <c r="C10" s="6" t="s">
        <v>22</v>
      </c>
      <c r="F10" s="8" t="s">
        <v>73</v>
      </c>
    </row>
    <row r="11" spans="1:15">
      <c r="C11" s="6" t="s">
        <v>42</v>
      </c>
      <c r="F11" s="8" t="s">
        <v>63</v>
      </c>
    </row>
    <row r="12" spans="1:15">
      <c r="C12" s="6" t="s">
        <v>48</v>
      </c>
      <c r="F12" s="8" t="s">
        <v>65</v>
      </c>
    </row>
    <row r="13" spans="1:15">
      <c r="C13" s="6" t="s">
        <v>59</v>
      </c>
      <c r="F13" s="8" t="s">
        <v>67</v>
      </c>
    </row>
    <row r="14" spans="1:15">
      <c r="F14" s="8" t="s">
        <v>68</v>
      </c>
    </row>
    <row r="15" spans="1:15">
      <c r="F15" s="8" t="s">
        <v>69</v>
      </c>
    </row>
    <row r="16" spans="1:15">
      <c r="F16" s="8" t="s">
        <v>71</v>
      </c>
    </row>
    <row r="17" spans="6:15">
      <c r="F17" s="8" t="s">
        <v>18</v>
      </c>
    </row>
    <row r="18" spans="6:15">
      <c r="F18" s="8" t="s">
        <v>33</v>
      </c>
    </row>
    <row r="20" spans="6:15">
      <c r="M20" s="2"/>
      <c r="N20" s="2"/>
      <c r="O20" s="2"/>
    </row>
    <row r="21" spans="6:15">
      <c r="M21" s="2"/>
      <c r="N21" s="2"/>
      <c r="O21" s="2"/>
    </row>
    <row r="22" spans="6:15">
      <c r="M22" s="2"/>
      <c r="N22" s="2"/>
      <c r="O22" s="2"/>
    </row>
    <row r="23" spans="6:15">
      <c r="M23" s="2"/>
      <c r="N23" s="2"/>
      <c r="O23" s="2"/>
    </row>
    <row r="24" spans="6:15">
      <c r="M24" s="2"/>
      <c r="N24" s="2"/>
      <c r="O24" s="2"/>
    </row>
    <row r="25" spans="6:15">
      <c r="M25" s="2"/>
      <c r="N25" s="2"/>
      <c r="O25" s="2"/>
    </row>
    <row r="26" spans="6:15">
      <c r="M26" s="2"/>
      <c r="N26" s="2"/>
      <c r="O26" s="2"/>
    </row>
    <row r="27" spans="6:15">
      <c r="M27" s="2"/>
      <c r="N27" s="2"/>
      <c r="O27" s="2"/>
    </row>
    <row r="28" spans="6:15">
      <c r="M28" s="2"/>
      <c r="N28" s="2"/>
      <c r="O28" s="2"/>
    </row>
    <row r="29" spans="6:15">
      <c r="M29" s="2"/>
      <c r="N29" s="2"/>
      <c r="O29" s="2"/>
    </row>
    <row r="30" spans="6:15">
      <c r="M30" s="2"/>
      <c r="N30" s="2"/>
      <c r="O30" s="2"/>
    </row>
    <row r="31" spans="6:15">
      <c r="M31" s="2"/>
      <c r="N31" s="2"/>
      <c r="O31" s="2"/>
    </row>
    <row r="32" spans="6:15">
      <c r="M32" s="2"/>
      <c r="N32" s="2"/>
      <c r="O32" s="2"/>
    </row>
    <row r="33" spans="13:15">
      <c r="M33" s="2"/>
      <c r="N33" s="2"/>
      <c r="O33" s="2"/>
    </row>
    <row r="34" spans="13:15">
      <c r="M34" s="2"/>
      <c r="N34" s="2"/>
      <c r="O34" s="2"/>
    </row>
    <row r="35" spans="13:15">
      <c r="M35" s="2"/>
      <c r="N35" s="2"/>
      <c r="O35" s="2"/>
    </row>
    <row r="36" spans="13:15">
      <c r="M36" s="2"/>
      <c r="N36" s="2"/>
      <c r="O36" s="2"/>
    </row>
  </sheetData>
  <phoneticPr fontId="1"/>
  <pageMargins left="0.7" right="0.7" top="0.75" bottom="0.75" header="0.3" footer="0.3"/>
  <pageSetup paperSize="9"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Book説明</vt:lpstr>
      <vt:lpstr>Enter Data</vt:lpstr>
      <vt:lpstr>DownSyncHistory</vt:lpstr>
      <vt:lpstr>ToReport</vt:lpstr>
      <vt:lpstr>List</vt:lpstr>
    </vt:vector>
  </TitlesOfParts>
  <Company>BRIDGESTONE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　樹里</dc:creator>
  <cp:lastModifiedBy>Owner</cp:lastModifiedBy>
  <cp:lastPrinted>2019-09-25T07:52:36Z</cp:lastPrinted>
  <dcterms:created xsi:type="dcterms:W3CDTF">2019-09-25T05:19:19Z</dcterms:created>
  <dcterms:modified xsi:type="dcterms:W3CDTF">2021-08-06T09:38:26Z</dcterms:modified>
</cp:coreProperties>
</file>